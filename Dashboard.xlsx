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2.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nicol\AppData\Roaming\Microsoft\Excel\Document.docxsdfsfsdd312671662810465931\"/>
    </mc:Choice>
  </mc:AlternateContent>
  <xr:revisionPtr revIDLastSave="0" documentId="8_{29BE69A8-0954-48EE-BE61-F59B7C7663D6}" xr6:coauthVersionLast="47" xr6:coauthVersionMax="47" xr10:uidLastSave="{00000000-0000-0000-0000-000000000000}"/>
  <bookViews>
    <workbookView xWindow="-108" yWindow="-108" windowWidth="23256" windowHeight="12456" xr2:uid="{00000000-000D-0000-FFFF-FFFF00000000}"/>
  </bookViews>
  <sheets>
    <sheet name="Base_Ouvidoria" sheetId="1" r:id="rId1"/>
    <sheet name="Dashboard v1.1" sheetId="13" r:id="rId2"/>
    <sheet name="PivotTable" sheetId="7" state="hidden" r:id="rId3"/>
  </sheets>
  <definedNames>
    <definedName name="_xlnm._FilterDatabase" localSheetId="0" hidden="1">Base_Ouvidoria!$B$251:$B$266</definedName>
    <definedName name="Slicer_Mês">#N/A</definedName>
    <definedName name="Slicer_Setor_MMA">#N/A</definedName>
    <definedName name="Slicer_Tipo_Manifestação">#N/A</definedName>
  </definedNames>
  <calcPr calcId="191028"/>
  <pivotCaches>
    <pivotCache cacheId="3"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41" i="1" l="1"/>
  <c r="I242" i="1" s="1"/>
  <c r="J242" i="1"/>
</calcChain>
</file>

<file path=xl/sharedStrings.xml><?xml version="1.0" encoding="utf-8"?>
<sst xmlns="http://schemas.openxmlformats.org/spreadsheetml/2006/main" count="2490" uniqueCount="114">
  <si>
    <t xml:space="preserve">Mês </t>
  </si>
  <si>
    <t>Quantia</t>
  </si>
  <si>
    <t>Janeiro</t>
  </si>
  <si>
    <t>Fevereiro</t>
  </si>
  <si>
    <t>Março</t>
  </si>
  <si>
    <t>Abril</t>
  </si>
  <si>
    <t>Maio</t>
  </si>
  <si>
    <t>Junho</t>
  </si>
  <si>
    <t>Julho</t>
  </si>
  <si>
    <t>Agosto</t>
  </si>
  <si>
    <t>Setembro</t>
  </si>
  <si>
    <t>Outubro</t>
  </si>
  <si>
    <t>Novembro</t>
  </si>
  <si>
    <t>Dezembro</t>
  </si>
  <si>
    <t>Assunto da manifestação</t>
  </si>
  <si>
    <t>Acesso à informação</t>
  </si>
  <si>
    <t>Agilidade de resposta</t>
  </si>
  <si>
    <t>Áreas protegidas</t>
  </si>
  <si>
    <t>Atendimento ao cidadão</t>
  </si>
  <si>
    <t>Competência de outro órgão</t>
  </si>
  <si>
    <t>Desmatamento</t>
  </si>
  <si>
    <t>Educação ambiental</t>
  </si>
  <si>
    <t>Fiscalização ambiental</t>
  </si>
  <si>
    <t>Licenciamento ambiental</t>
  </si>
  <si>
    <t>Processo administrativo</t>
  </si>
  <si>
    <t>Queimada</t>
  </si>
  <si>
    <t>Resíduos sólidos</t>
  </si>
  <si>
    <t>Tipo de manifestação</t>
  </si>
  <si>
    <t>Denúncia</t>
  </si>
  <si>
    <t>Elogio</t>
  </si>
  <si>
    <t>Pedido de Informação</t>
  </si>
  <si>
    <t>Reclamação</t>
  </si>
  <si>
    <t>Solicitação</t>
  </si>
  <si>
    <t>Sugestão</t>
  </si>
  <si>
    <t>Contagem de Manifestações</t>
  </si>
  <si>
    <t>AC</t>
  </si>
  <si>
    <t>AM</t>
  </si>
  <si>
    <t>DF</t>
  </si>
  <si>
    <t>GO</t>
  </si>
  <si>
    <t>MA</t>
  </si>
  <si>
    <t>MG</t>
  </si>
  <si>
    <t>MT</t>
  </si>
  <si>
    <t>PA</t>
  </si>
  <si>
    <t>RJ</t>
  </si>
  <si>
    <t>RO</t>
  </si>
  <si>
    <t>RR</t>
  </si>
  <si>
    <t>SP</t>
  </si>
  <si>
    <t>TO</t>
  </si>
  <si>
    <t>Contagem de  Manifestações</t>
  </si>
  <si>
    <t>Aguardando resposta</t>
  </si>
  <si>
    <t>Arquivada</t>
  </si>
  <si>
    <t>Concluída</t>
  </si>
  <si>
    <t>Em análise</t>
  </si>
  <si>
    <t>Encaminhada</t>
  </si>
  <si>
    <t>Setor MMA</t>
  </si>
  <si>
    <t>CGTI</t>
  </si>
  <si>
    <t>Consultoria Jurídica</t>
  </si>
  <si>
    <t>Gabinete</t>
  </si>
  <si>
    <t>Ouvidoria</t>
  </si>
  <si>
    <t>SECD</t>
  </si>
  <si>
    <t>Secretaria de Biodiversidade</t>
  </si>
  <si>
    <t>Secretaria de Clima</t>
  </si>
  <si>
    <t>SPOA</t>
  </si>
  <si>
    <t>Média de Dias Resposta</t>
  </si>
  <si>
    <t>Respondido no Prazo</t>
  </si>
  <si>
    <t>Não</t>
  </si>
  <si>
    <t>Sim</t>
  </si>
  <si>
    <t>Média de Satisfação de 1 a 5</t>
  </si>
  <si>
    <t>Data_Entrada</t>
  </si>
  <si>
    <t>Mês</t>
  </si>
  <si>
    <t>Canal</t>
  </si>
  <si>
    <t>Tipo_Manifestação</t>
  </si>
  <si>
    <t>Assunto</t>
  </si>
  <si>
    <t>Setor_MMA</t>
  </si>
  <si>
    <t>UF</t>
  </si>
  <si>
    <t>Status</t>
  </si>
  <si>
    <t>Dias_Resposta</t>
  </si>
  <si>
    <t>Prazo_Dias</t>
  </si>
  <si>
    <t>Dentro_do_Prazo</t>
  </si>
  <si>
    <t>Prioridade</t>
  </si>
  <si>
    <t>Encaminhar_Para</t>
  </si>
  <si>
    <t>jan</t>
  </si>
  <si>
    <t>Telefone</t>
  </si>
  <si>
    <t>Alta</t>
  </si>
  <si>
    <t>CGU</t>
  </si>
  <si>
    <t>Fala.Br</t>
  </si>
  <si>
    <t>Média</t>
  </si>
  <si>
    <t>Prefeitura</t>
  </si>
  <si>
    <t>SEI</t>
  </si>
  <si>
    <t>IBAMA</t>
  </si>
  <si>
    <t>Baixa</t>
  </si>
  <si>
    <t>ANA</t>
  </si>
  <si>
    <t>E-mail</t>
  </si>
  <si>
    <t>WhatsApp</t>
  </si>
  <si>
    <t>MDA</t>
  </si>
  <si>
    <t>Presencial</t>
  </si>
  <si>
    <t>Órgão Estadual</t>
  </si>
  <si>
    <t>Ministério dos Transportes</t>
  </si>
  <si>
    <t>MAPA</t>
  </si>
  <si>
    <t>fev</t>
  </si>
  <si>
    <t>MMA - Ouvidoria</t>
  </si>
  <si>
    <t>Mar</t>
  </si>
  <si>
    <t>ICMBio</t>
  </si>
  <si>
    <t>Abr</t>
  </si>
  <si>
    <t>Mai</t>
  </si>
  <si>
    <t>Jun</t>
  </si>
  <si>
    <t>Jul</t>
  </si>
  <si>
    <t>Ago</t>
  </si>
  <si>
    <t>set</t>
  </si>
  <si>
    <t>Out</t>
  </si>
  <si>
    <t>Nov</t>
  </si>
  <si>
    <t>Dez.</t>
  </si>
  <si>
    <t>Row Labels</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</si>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</sst>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416]mmm\-yy;@"/>
  </numFmts>
  <fonts count="5">
    <font>
      <sz val="11"/>
      <name val="Carlito"/>
    </font>
    <font>
      <b/>
      <sz val="11"/>
      <color rgb="FFFFFFFF"/>
      <name val="Carlito"/>
    </font>
    <font>
      <b/>
      <sz val="11"/>
      <name val="Carlito"/>
    </font>
    <font>
      <sz val="11"/>
      <color theme="1"/>
      <name val="Carlito"/>
    </font>
    <font>
      <sz val="28"/>
      <name val="Carlito"/>
    </font>
  </fonts>
  <fills count="5">
    <fill>
      <patternFill patternType="none"/>
    </fill>
    <fill>
      <patternFill patternType="gray125"/>
    </fill>
    <fill>
      <patternFill patternType="solid">
        <fgColor rgb="FF1F4E79"/>
        <bgColor indexed="64"/>
      </patternFill>
    </fill>
    <fill>
      <patternFill patternType="solid">
        <fgColor rgb="FFE8F5E9"/>
        <bgColor indexed="64"/>
      </patternFill>
    </fill>
    <fill>
      <patternFill patternType="solid">
        <fgColor rgb="FFDAF2D0"/>
        <bgColor indexed="64"/>
      </patternFill>
    </fill>
  </fills>
  <borders count="2">
    <border>
      <left/>
      <right/>
      <top/>
      <bottom/>
      <diagonal/>
    </border>
    <border>
      <left/>
      <right/>
      <top/>
      <bottom/>
      <diagonal/>
    </border>
  </borders>
  <cellStyleXfs count="1">
    <xf numFmtId="0" fontId="0" fillId="0" borderId="0"/>
  </cellStyleXfs>
  <cellXfs count="26">
    <xf numFmtId="0" fontId="0" fillId="0" borderId="0" xfId="0"/>
    <xf numFmtId="0" fontId="0" fillId="0" borderId="0" xfId="0" applyAlignment="1">
      <alignment wrapText="1"/>
    </xf>
    <xf numFmtId="14" fontId="0" fillId="0" borderId="0" xfId="0" applyNumberFormat="1" applyAlignment="1">
      <alignment wrapText="1"/>
    </xf>
    <xf numFmtId="1" fontId="0" fillId="0" borderId="0" xfId="0" applyNumberFormat="1" applyAlignment="1">
      <alignment wrapText="1"/>
    </xf>
    <xf numFmtId="0" fontId="2" fillId="0" borderId="0" xfId="0" applyFont="1"/>
    <xf numFmtId="0" fontId="0" fillId="0" borderId="1" xfId="0" applyBorder="1"/>
    <xf numFmtId="0" fontId="3" fillId="0" borderId="1" xfId="0" applyFont="1" applyBorder="1" applyAlignment="1">
      <alignment wrapText="1"/>
    </xf>
    <xf numFmtId="14" fontId="3" fillId="0" borderId="1" xfId="0" applyNumberFormat="1" applyFont="1" applyBorder="1" applyAlignment="1">
      <alignment wrapText="1"/>
    </xf>
    <xf numFmtId="1" fontId="3" fillId="0" borderId="1" xfId="0" applyNumberFormat="1" applyFont="1" applyBorder="1" applyAlignment="1">
      <alignment wrapText="1"/>
    </xf>
    <xf numFmtId="0" fontId="0" fillId="0" borderId="1" xfId="0" applyBorder="1" applyAlignment="1">
      <alignment horizontal="right"/>
    </xf>
    <xf numFmtId="0" fontId="1" fillId="2" borderId="1" xfId="0" applyFont="1" applyFill="1" applyBorder="1" applyAlignment="1">
      <alignment horizontal="center" vertical="center" wrapText="1"/>
    </xf>
    <xf numFmtId="1" fontId="0" fillId="0" borderId="0" xfId="0" applyNumberFormat="1"/>
    <xf numFmtId="164" fontId="1" fillId="2" borderId="1" xfId="0" applyNumberFormat="1" applyFont="1" applyFill="1" applyBorder="1" applyAlignment="1">
      <alignment horizontal="center" vertical="center" wrapText="1"/>
    </xf>
    <xf numFmtId="164" fontId="0" fillId="0" borderId="0" xfId="0" applyNumberFormat="1" applyAlignment="1">
      <alignment wrapText="1"/>
    </xf>
    <xf numFmtId="164" fontId="0" fillId="0" borderId="0" xfId="0" applyNumberFormat="1"/>
    <xf numFmtId="164" fontId="2" fillId="0" borderId="0" xfId="0" applyNumberFormat="1" applyFont="1"/>
    <xf numFmtId="164" fontId="3" fillId="0" borderId="1" xfId="0" applyNumberFormat="1" applyFont="1" applyBorder="1" applyAlignment="1">
      <alignment wrapText="1"/>
    </xf>
    <xf numFmtId="164" fontId="0" fillId="0" borderId="1" xfId="0" applyNumberFormat="1" applyBorder="1"/>
    <xf numFmtId="0" fontId="0" fillId="3" borderId="0" xfId="0" applyFill="1"/>
    <xf numFmtId="0" fontId="4" fillId="3" borderId="0" xfId="0" applyFont="1" applyFill="1"/>
    <xf numFmtId="0" fontId="0" fillId="3" borderId="0" xfId="0" applyFill="1">
      <extLst>
        <ext xmlns:xfpb="http://schemas.microsoft.com/office/spreadsheetml/2022/featurepropertybag" uri="{C7286773-470A-42A8-94C5-96B5CB345126}">
          <xfpb:xfComplement i="0"/>
        </ext>
      </extLst>
    </xf>
    <xf numFmtId="0" fontId="0" fillId="4" borderId="0" xfId="0" applyFill="1"/>
    <xf numFmtId="0" fontId="0" fillId="4" borderId="0" xfId="0" applyFill="1" applyAlignment="1">
      <alignment horizontal="right"/>
    </xf>
    <xf numFmtId="0" fontId="0" fillId="4" borderId="0" xfId="0" applyFill="1" applyAlignment="1">
      <alignment horizontal="left"/>
    </xf>
    <xf numFmtId="0" fontId="0" fillId="4" borderId="0" xfId="0" applyNumberFormat="1" applyFill="1"/>
    <xf numFmtId="1" fontId="0" fillId="4" borderId="0" xfId="0" applyNumberFormat="1" applyFill="1"/>
  </cellXfs>
  <cellStyles count="1">
    <cellStyle name="Normal" xfId="0" builtinId="0"/>
  </cellStyles>
  <dxfs count="496">
    <dxf>
      <numFmt numFmtId="164" formatCode="[$-416]mmm\-yy;@"/>
    </dxf>
    <dxf>
      <fill>
        <patternFill patternType="solid">
          <bgColor rgb="FFE8F5E9"/>
        </patternFill>
      </fill>
    </dxf>
    <dxf>
      <fill>
        <patternFill patternType="solid">
          <bgColor rgb="FFE8F5E9"/>
        </patternFill>
      </fill>
    </dxf>
    <dxf>
      <fill>
        <patternFill patternType="solid">
          <bgColor rgb="FFE8F5E9"/>
        </patternFill>
      </fill>
    </dxf>
    <dxf>
      <fill>
        <patternFill>
          <bgColor rgb="FFDAF2D0"/>
        </patternFill>
      </fill>
    </dxf>
    <dxf>
      <fill>
        <patternFill>
          <bgColor rgb="FFDAF2D0"/>
        </patternFill>
      </fill>
    </dxf>
    <dxf>
      <fill>
        <patternFill>
          <bgColor rgb="FFDAF2D0"/>
        </patternFill>
      </fill>
    </dxf>
    <dxf>
      <fill>
        <patternFill patternType="solid">
          <bgColor rgb="FFE8F5E9"/>
        </patternFill>
      </fill>
    </dxf>
    <dxf>
      <fill>
        <patternFill patternType="solid">
          <bgColor rgb="FFE8F5E9"/>
        </patternFill>
      </fill>
    </dxf>
    <dxf>
      <fill>
        <patternFill patternType="solid">
          <bgColor rgb="FFE8F5E9"/>
        </patternFill>
      </fill>
    </dxf>
    <dxf>
      <fill>
        <patternFill patternType="solid">
          <bgColor rgb="FFE8F5E9"/>
        </patternFill>
      </fill>
    </dxf>
    <dxf>
      <fill>
        <patternFill patternType="solid">
          <bgColor rgb="FFE8F5E9"/>
        </patternFill>
      </fill>
    </dxf>
    <dxf>
      <fill>
        <patternFill patternType="solid">
          <bgColor rgb="FFE8F5E9"/>
        </patternFill>
      </fill>
    </dxf>
    <dxf>
      <fill>
        <patternFill>
          <bgColor rgb="FFDAF2D0"/>
        </patternFill>
      </fill>
    </dxf>
    <dxf>
      <fill>
        <patternFill>
          <bgColor rgb="FFDAF2D0"/>
        </patternFill>
      </fill>
    </dxf>
    <dxf>
      <fill>
        <patternFill>
          <bgColor rgb="FFDAF2D0"/>
        </patternFill>
      </fill>
    </dxf>
    <dxf>
      <fill>
        <patternFill>
          <bgColor rgb="FFDAF2D0"/>
        </patternFill>
      </fill>
    </dxf>
    <dxf>
      <fill>
        <patternFill>
          <bgColor rgb="FFDAF2D0"/>
        </patternFill>
      </fill>
    </dxf>
    <dxf>
      <fill>
        <patternFill>
          <bgColor rgb="FFDAF2D0"/>
        </patternFill>
      </fill>
    </dxf>
    <dxf>
      <fill>
        <patternFill patternType="solid">
          <bgColor rgb="FFE8F5E9"/>
        </patternFill>
      </fill>
    </dxf>
    <dxf>
      <fill>
        <patternFill patternType="solid">
          <bgColor rgb="FFE8F5E9"/>
        </patternFill>
      </fill>
    </dxf>
    <dxf>
      <fill>
        <patternFill patternType="solid">
          <bgColor rgb="FFE8F5E9"/>
        </patternFill>
      </fill>
    </dxf>
    <dxf>
      <fill>
        <patternFill>
          <bgColor rgb="FFDAF2D0"/>
        </patternFill>
      </fill>
    </dxf>
    <dxf>
      <fill>
        <patternFill>
          <bgColor rgb="FFDAF2D0"/>
        </patternFill>
      </fill>
    </dxf>
    <dxf>
      <fill>
        <patternFill>
          <bgColor rgb="FFDAF2D0"/>
        </patternFill>
      </fill>
    </dxf>
    <dxf>
      <alignment horizontal="right"/>
    </dxf>
    <dxf>
      <fill>
        <patternFill patternType="solid">
          <bgColor rgb="FFE8F5E9"/>
        </patternFill>
      </fill>
    </dxf>
    <dxf>
      <fill>
        <patternFill patternType="solid">
          <bgColor rgb="FFE8F5E9"/>
        </patternFill>
      </fill>
    </dxf>
    <dxf>
      <fill>
        <patternFill patternType="solid">
          <bgColor rgb="FFE8F5E9"/>
        </patternFill>
      </fill>
    </dxf>
    <dxf>
      <fill>
        <patternFill patternType="solid">
          <bgColor rgb="FFE8F5E9"/>
        </patternFill>
      </fill>
    </dxf>
    <dxf>
      <fill>
        <patternFill patternType="solid">
          <bgColor rgb="FFE8F5E9"/>
        </patternFill>
      </fill>
    </dxf>
    <dxf>
      <fill>
        <patternFill patternType="solid">
          <bgColor rgb="FFE8F5E9"/>
        </patternFill>
      </fill>
    </dxf>
    <dxf>
      <fill>
        <patternFill>
          <bgColor rgb="FFDAF2D0"/>
        </patternFill>
      </fill>
    </dxf>
    <dxf>
      <fill>
        <patternFill>
          <bgColor rgb="FFDAF2D0"/>
        </patternFill>
      </fill>
    </dxf>
    <dxf>
      <fill>
        <patternFill>
          <bgColor rgb="FFDAF2D0"/>
        </patternFill>
      </fill>
    </dxf>
    <dxf>
      <fill>
        <patternFill>
          <bgColor rgb="FFDAF2D0"/>
        </patternFill>
      </fill>
    </dxf>
    <dxf>
      <fill>
        <patternFill>
          <bgColor rgb="FFDAF2D0"/>
        </patternFill>
      </fill>
    </dxf>
    <dxf>
      <fill>
        <patternFill>
          <bgColor rgb="FFDAF2D0"/>
        </patternFill>
      </fill>
    </dxf>
    <dxf>
      <fill>
        <patternFill patternType="solid">
          <bgColor rgb="FFE8F5E9"/>
        </patternFill>
      </fill>
    </dxf>
    <dxf>
      <fill>
        <patternFill patternType="solid">
          <bgColor rgb="FFE8F5E9"/>
        </patternFill>
      </fill>
    </dxf>
    <dxf>
      <fill>
        <patternFill patternType="solid">
          <bgColor rgb="FFE8F5E9"/>
        </patternFill>
      </fill>
    </dxf>
    <dxf>
      <fill>
        <patternFill patternType="solid">
          <bgColor rgb="FFE8F5E9"/>
        </patternFill>
      </fill>
    </dxf>
    <dxf>
      <fill>
        <patternFill patternType="solid">
          <bgColor rgb="FFE8F5E9"/>
        </patternFill>
      </fill>
    </dxf>
    <dxf>
      <fill>
        <patternFill>
          <bgColor rgb="FFDAF2D0"/>
        </patternFill>
      </fill>
    </dxf>
    <dxf>
      <fill>
        <patternFill>
          <bgColor rgb="FFDAF2D0"/>
        </patternFill>
      </fill>
    </dxf>
    <dxf>
      <fill>
        <patternFill>
          <bgColor rgb="FFDAF2D0"/>
        </patternFill>
      </fill>
    </dxf>
    <dxf>
      <fill>
        <patternFill>
          <bgColor rgb="FFDAF2D0"/>
        </patternFill>
      </fill>
    </dxf>
    <dxf>
      <fill>
        <patternFill>
          <bgColor rgb="FFDAF2D0"/>
        </patternFill>
      </fill>
    </dxf>
    <dxf>
      <fill>
        <patternFill patternType="solid">
          <bgColor rgb="FFE8F5E9"/>
        </patternFill>
      </fill>
    </dxf>
    <dxf>
      <fill>
        <patternFill patternType="solid">
          <bgColor rgb="FFE8F5E9"/>
        </patternFill>
      </fill>
    </dxf>
    <dxf>
      <fill>
        <patternFill patternType="solid">
          <bgColor rgb="FFE8F5E9"/>
        </patternFill>
      </fill>
    </dxf>
    <dxf>
      <fill>
        <patternFill patternType="solid">
          <bgColor rgb="FFE8F5E9"/>
        </patternFill>
      </fill>
    </dxf>
    <dxf>
      <fill>
        <patternFill patternType="solid">
          <bgColor rgb="FFE8F5E9"/>
        </patternFill>
      </fill>
    </dxf>
    <dxf>
      <fill>
        <patternFill>
          <bgColor rgb="FFDAF2D0"/>
        </patternFill>
      </fill>
    </dxf>
    <dxf>
      <fill>
        <patternFill>
          <bgColor rgb="FFDAF2D0"/>
        </patternFill>
      </fill>
    </dxf>
    <dxf>
      <fill>
        <patternFill>
          <bgColor rgb="FFDAF2D0"/>
        </patternFill>
      </fill>
    </dxf>
    <dxf>
      <fill>
        <patternFill>
          <bgColor rgb="FFDAF2D0"/>
        </patternFill>
      </fill>
    </dxf>
    <dxf>
      <fill>
        <patternFill>
          <bgColor rgb="FFDAF2D0"/>
        </patternFill>
      </fill>
    </dxf>
    <dxf>
      <alignment horizontal="right"/>
    </dxf>
    <dxf>
      <fill>
        <patternFill patternType="solid">
          <bgColor rgb="FFE8F5E9"/>
        </patternFill>
      </fill>
    </dxf>
    <dxf>
      <fill>
        <patternFill patternType="solid">
          <bgColor rgb="FFE8F5E9"/>
        </patternFill>
      </fill>
    </dxf>
    <dxf>
      <fill>
        <patternFill patternType="solid">
          <bgColor rgb="FFE8F5E9"/>
        </patternFill>
      </fill>
    </dxf>
    <dxf>
      <fill>
        <patternFill patternType="solid">
          <bgColor rgb="FFE8F5E9"/>
        </patternFill>
      </fill>
    </dxf>
    <dxf>
      <fill>
        <patternFill patternType="solid">
          <bgColor rgb="FFE8F5E9"/>
        </patternFill>
      </fill>
    </dxf>
    <dxf>
      <fill>
        <patternFill>
          <bgColor rgb="FFDAF2D0"/>
        </patternFill>
      </fill>
    </dxf>
    <dxf>
      <fill>
        <patternFill>
          <bgColor rgb="FFDAF2D0"/>
        </patternFill>
      </fill>
    </dxf>
    <dxf>
      <fill>
        <patternFill>
          <bgColor rgb="FFDAF2D0"/>
        </patternFill>
      </fill>
    </dxf>
    <dxf>
      <fill>
        <patternFill>
          <bgColor rgb="FFDAF2D0"/>
        </patternFill>
      </fill>
    </dxf>
    <dxf>
      <fill>
        <patternFill>
          <bgColor rgb="FFDAF2D0"/>
        </patternFill>
      </fill>
    </dxf>
    <dxf>
      <alignment horizontal="right"/>
    </dxf>
    <dxf>
      <fill>
        <patternFill patternType="solid">
          <bgColor rgb="FFE8F5E9"/>
        </patternFill>
      </fill>
    </dxf>
    <dxf>
      <fill>
        <patternFill patternType="solid">
          <bgColor rgb="FFE8F5E9"/>
        </patternFill>
      </fill>
    </dxf>
    <dxf>
      <fill>
        <patternFill patternType="solid">
          <bgColor rgb="FFE8F5E9"/>
        </patternFill>
      </fill>
    </dxf>
    <dxf>
      <fill>
        <patternFill patternType="solid">
          <bgColor rgb="FFE8F5E9"/>
        </patternFill>
      </fill>
    </dxf>
    <dxf>
      <fill>
        <patternFill patternType="solid">
          <bgColor rgb="FFE8F5E9"/>
        </patternFill>
      </fill>
    </dxf>
    <dxf>
      <fill>
        <patternFill>
          <bgColor rgb="FFDAF2D0"/>
        </patternFill>
      </fill>
    </dxf>
    <dxf>
      <fill>
        <patternFill>
          <bgColor rgb="FFDAF2D0"/>
        </patternFill>
      </fill>
    </dxf>
    <dxf>
      <fill>
        <patternFill>
          <bgColor rgb="FFDAF2D0"/>
        </patternFill>
      </fill>
    </dxf>
    <dxf>
      <fill>
        <patternFill>
          <bgColor rgb="FFDAF2D0"/>
        </patternFill>
      </fill>
    </dxf>
    <dxf>
      <fill>
        <patternFill>
          <bgColor rgb="FFDAF2D0"/>
        </patternFill>
      </fill>
    </dxf>
    <dxf>
      <alignment horizontal="right"/>
    </dxf>
    <dxf>
      <fill>
        <patternFill patternType="solid">
          <bgColor rgb="FFE8F5E9"/>
        </patternFill>
      </fill>
    </dxf>
    <dxf>
      <fill>
        <patternFill patternType="solid">
          <bgColor rgb="FFE8F5E9"/>
        </patternFill>
      </fill>
    </dxf>
    <dxf>
      <fill>
        <patternFill patternType="solid">
          <bgColor rgb="FFE8F5E9"/>
        </patternFill>
      </fill>
    </dxf>
    <dxf>
      <fill>
        <patternFill patternType="solid">
          <bgColor rgb="FFE8F5E9"/>
        </patternFill>
      </fill>
    </dxf>
    <dxf>
      <fill>
        <patternFill patternType="solid">
          <bgColor rgb="FFE8F5E9"/>
        </patternFill>
      </fill>
    </dxf>
    <dxf>
      <fill>
        <patternFill patternType="solid">
          <bgColor rgb="FFE8F5E9"/>
        </patternFill>
      </fill>
    </dxf>
    <dxf>
      <fill>
        <patternFill>
          <bgColor rgb="FFDAF2D0"/>
        </patternFill>
      </fill>
    </dxf>
    <dxf>
      <fill>
        <patternFill>
          <bgColor rgb="FFDAF2D0"/>
        </patternFill>
      </fill>
    </dxf>
    <dxf>
      <fill>
        <patternFill>
          <bgColor rgb="FFDAF2D0"/>
        </patternFill>
      </fill>
    </dxf>
    <dxf>
      <fill>
        <patternFill>
          <bgColor rgb="FFDAF2D0"/>
        </patternFill>
      </fill>
    </dxf>
    <dxf>
      <fill>
        <patternFill>
          <bgColor rgb="FFDAF2D0"/>
        </patternFill>
      </fill>
    </dxf>
    <dxf>
      <fill>
        <patternFill>
          <bgColor rgb="FFDAF2D0"/>
        </patternFill>
      </fill>
    </dxf>
    <dxf>
      <fill>
        <patternFill patternType="solid">
          <bgColor rgb="FFE8F5E9"/>
        </patternFill>
      </fill>
    </dxf>
    <dxf>
      <fill>
        <patternFill patternType="solid">
          <bgColor rgb="FFE8F5E9"/>
        </patternFill>
      </fill>
    </dxf>
    <dxf>
      <fill>
        <patternFill patternType="solid">
          <bgColor rgb="FFE8F5E9"/>
        </patternFill>
      </fill>
    </dxf>
    <dxf>
      <fill>
        <patternFill>
          <bgColor rgb="FFDAF2D0"/>
        </patternFill>
      </fill>
    </dxf>
    <dxf>
      <fill>
        <patternFill>
          <bgColor rgb="FFDAF2D0"/>
        </patternFill>
      </fill>
    </dxf>
    <dxf>
      <fill>
        <patternFill>
          <bgColor rgb="FFDAF2D0"/>
        </patternFill>
      </fill>
    </dxf>
    <dxf>
      <fill>
        <patternFill patternType="solid">
          <bgColor rgb="FFE8F5E9"/>
        </patternFill>
      </fill>
    </dxf>
    <dxf>
      <fill>
        <patternFill patternType="solid">
          <bgColor rgb="FFE8F5E9"/>
        </patternFill>
      </fill>
    </dxf>
    <dxf>
      <fill>
        <patternFill patternType="solid">
          <bgColor rgb="FFE8F5E9"/>
        </patternFill>
      </fill>
    </dxf>
    <dxf>
      <fill>
        <patternFill patternType="solid">
          <bgColor rgb="FFE8F5E9"/>
        </patternFill>
      </fill>
    </dxf>
    <dxf>
      <fill>
        <patternFill patternType="solid">
          <bgColor rgb="FFE8F5E9"/>
        </patternFill>
      </fill>
    </dxf>
    <dxf>
      <fill>
        <patternFill patternType="solid">
          <bgColor rgb="FFE8F5E9"/>
        </patternFill>
      </fill>
    </dxf>
    <dxf>
      <fill>
        <patternFill>
          <bgColor rgb="FFDAF2D0"/>
        </patternFill>
      </fill>
    </dxf>
    <dxf>
      <fill>
        <patternFill>
          <bgColor rgb="FFDAF2D0"/>
        </patternFill>
      </fill>
    </dxf>
    <dxf>
      <fill>
        <patternFill>
          <bgColor rgb="FFDAF2D0"/>
        </patternFill>
      </fill>
    </dxf>
    <dxf>
      <fill>
        <patternFill>
          <bgColor rgb="FFDAF2D0"/>
        </patternFill>
      </fill>
    </dxf>
    <dxf>
      <fill>
        <patternFill>
          <bgColor rgb="FFDAF2D0"/>
        </patternFill>
      </fill>
    </dxf>
    <dxf>
      <fill>
        <patternFill>
          <bgColor rgb="FFDAF2D0"/>
        </patternFill>
      </fill>
    </dxf>
    <dxf>
      <fill>
        <patternFill patternType="solid">
          <bgColor rgb="FFE8F5E9"/>
        </patternFill>
      </fill>
    </dxf>
    <dxf>
      <fill>
        <patternFill patternType="solid">
          <bgColor rgb="FFE8F5E9"/>
        </patternFill>
      </fill>
    </dxf>
    <dxf>
      <fill>
        <patternFill patternType="solid">
          <bgColor rgb="FFE8F5E9"/>
        </patternFill>
      </fill>
    </dxf>
    <dxf>
      <fill>
        <patternFill>
          <bgColor rgb="FFDAF2D0"/>
        </patternFill>
      </fill>
    </dxf>
    <dxf>
      <fill>
        <patternFill>
          <bgColor rgb="FFDAF2D0"/>
        </patternFill>
      </fill>
    </dxf>
    <dxf>
      <fill>
        <patternFill>
          <bgColor rgb="FFDAF2D0"/>
        </patternFill>
      </fill>
    </dxf>
    <dxf>
      <alignment horizontal="right"/>
    </dxf>
    <dxf>
      <fill>
        <patternFill patternType="solid">
          <bgColor rgb="FFE8F5E9"/>
        </patternFill>
      </fill>
    </dxf>
    <dxf>
      <fill>
        <patternFill patternType="solid">
          <bgColor rgb="FFE8F5E9"/>
        </patternFill>
      </fill>
    </dxf>
    <dxf>
      <fill>
        <patternFill patternType="solid">
          <bgColor rgb="FFE8F5E9"/>
        </patternFill>
      </fill>
    </dxf>
    <dxf>
      <fill>
        <patternFill patternType="solid">
          <bgColor rgb="FFE8F5E9"/>
        </patternFill>
      </fill>
    </dxf>
    <dxf>
      <fill>
        <patternFill patternType="solid">
          <bgColor rgb="FFE8F5E9"/>
        </patternFill>
      </fill>
    </dxf>
    <dxf>
      <fill>
        <patternFill patternType="solid">
          <bgColor rgb="FFE8F5E9"/>
        </patternFill>
      </fill>
    </dxf>
    <dxf>
      <fill>
        <patternFill>
          <bgColor rgb="FFDAF2D0"/>
        </patternFill>
      </fill>
    </dxf>
    <dxf>
      <fill>
        <patternFill>
          <bgColor rgb="FFDAF2D0"/>
        </patternFill>
      </fill>
    </dxf>
    <dxf>
      <fill>
        <patternFill>
          <bgColor rgb="FFDAF2D0"/>
        </patternFill>
      </fill>
    </dxf>
    <dxf>
      <fill>
        <patternFill>
          <bgColor rgb="FFDAF2D0"/>
        </patternFill>
      </fill>
    </dxf>
    <dxf>
      <fill>
        <patternFill>
          <bgColor rgb="FFDAF2D0"/>
        </patternFill>
      </fill>
    </dxf>
    <dxf>
      <fill>
        <patternFill>
          <bgColor rgb="FFDAF2D0"/>
        </patternFill>
      </fill>
    </dxf>
    <dxf>
      <fill>
        <patternFill patternType="solid">
          <bgColor rgb="FFE8F5E9"/>
        </patternFill>
      </fill>
    </dxf>
    <dxf>
      <fill>
        <patternFill patternType="solid">
          <bgColor rgb="FFE8F5E9"/>
        </patternFill>
      </fill>
    </dxf>
    <dxf>
      <fill>
        <patternFill patternType="solid">
          <bgColor rgb="FFE8F5E9"/>
        </patternFill>
      </fill>
    </dxf>
    <dxf>
      <fill>
        <patternFill patternType="solid">
          <bgColor rgb="FFE8F5E9"/>
        </patternFill>
      </fill>
    </dxf>
    <dxf>
      <fill>
        <patternFill patternType="solid">
          <bgColor rgb="FFE8F5E9"/>
        </patternFill>
      </fill>
    </dxf>
    <dxf>
      <fill>
        <patternFill>
          <bgColor rgb="FFDAF2D0"/>
        </patternFill>
      </fill>
    </dxf>
    <dxf>
      <fill>
        <patternFill>
          <bgColor rgb="FFDAF2D0"/>
        </patternFill>
      </fill>
    </dxf>
    <dxf>
      <fill>
        <patternFill>
          <bgColor rgb="FFDAF2D0"/>
        </patternFill>
      </fill>
    </dxf>
    <dxf>
      <fill>
        <patternFill>
          <bgColor rgb="FFDAF2D0"/>
        </patternFill>
      </fill>
    </dxf>
    <dxf>
      <fill>
        <patternFill>
          <bgColor rgb="FFDAF2D0"/>
        </patternFill>
      </fill>
    </dxf>
    <dxf>
      <fill>
        <patternFill patternType="solid">
          <bgColor rgb="FFE8F5E9"/>
        </patternFill>
      </fill>
    </dxf>
    <dxf>
      <fill>
        <patternFill patternType="solid">
          <bgColor rgb="FFE8F5E9"/>
        </patternFill>
      </fill>
    </dxf>
    <dxf>
      <fill>
        <patternFill patternType="solid">
          <bgColor rgb="FFE8F5E9"/>
        </patternFill>
      </fill>
    </dxf>
    <dxf>
      <fill>
        <patternFill patternType="solid">
          <bgColor rgb="FFE8F5E9"/>
        </patternFill>
      </fill>
    </dxf>
    <dxf>
      <fill>
        <patternFill patternType="solid">
          <bgColor rgb="FFE8F5E9"/>
        </patternFill>
      </fill>
    </dxf>
    <dxf>
      <fill>
        <patternFill>
          <bgColor rgb="FFDAF2D0"/>
        </patternFill>
      </fill>
    </dxf>
    <dxf>
      <fill>
        <patternFill>
          <bgColor rgb="FFDAF2D0"/>
        </patternFill>
      </fill>
    </dxf>
    <dxf>
      <fill>
        <patternFill>
          <bgColor rgb="FFDAF2D0"/>
        </patternFill>
      </fill>
    </dxf>
    <dxf>
      <fill>
        <patternFill>
          <bgColor rgb="FFDAF2D0"/>
        </patternFill>
      </fill>
    </dxf>
    <dxf>
      <fill>
        <patternFill>
          <bgColor rgb="FFDAF2D0"/>
        </patternFill>
      </fill>
    </dxf>
    <dxf>
      <alignment horizontal="right"/>
    </dxf>
    <dxf>
      <fill>
        <patternFill patternType="solid">
          <bgColor rgb="FFE8F5E9"/>
        </patternFill>
      </fill>
    </dxf>
    <dxf>
      <fill>
        <patternFill patternType="solid">
          <bgColor rgb="FFE8F5E9"/>
        </patternFill>
      </fill>
    </dxf>
    <dxf>
      <fill>
        <patternFill patternType="solid">
          <bgColor rgb="FFE8F5E9"/>
        </patternFill>
      </fill>
    </dxf>
    <dxf>
      <fill>
        <patternFill patternType="solid">
          <bgColor rgb="FFE8F5E9"/>
        </patternFill>
      </fill>
    </dxf>
    <dxf>
      <fill>
        <patternFill patternType="solid">
          <bgColor rgb="FFE8F5E9"/>
        </patternFill>
      </fill>
    </dxf>
    <dxf>
      <fill>
        <patternFill>
          <bgColor rgb="FFDAF2D0"/>
        </patternFill>
      </fill>
    </dxf>
    <dxf>
      <fill>
        <patternFill>
          <bgColor rgb="FFDAF2D0"/>
        </patternFill>
      </fill>
    </dxf>
    <dxf>
      <fill>
        <patternFill>
          <bgColor rgb="FFDAF2D0"/>
        </patternFill>
      </fill>
    </dxf>
    <dxf>
      <fill>
        <patternFill>
          <bgColor rgb="FFDAF2D0"/>
        </patternFill>
      </fill>
    </dxf>
    <dxf>
      <fill>
        <patternFill>
          <bgColor rgb="FFDAF2D0"/>
        </patternFill>
      </fill>
    </dxf>
    <dxf>
      <alignment horizontal="right"/>
    </dxf>
    <dxf>
      <fill>
        <patternFill patternType="solid">
          <bgColor rgb="FFE8F5E9"/>
        </patternFill>
      </fill>
    </dxf>
    <dxf>
      <fill>
        <patternFill patternType="solid">
          <bgColor rgb="FFE8F5E9"/>
        </patternFill>
      </fill>
    </dxf>
    <dxf>
      <fill>
        <patternFill patternType="solid">
          <bgColor rgb="FFE8F5E9"/>
        </patternFill>
      </fill>
    </dxf>
    <dxf>
      <fill>
        <patternFill patternType="solid">
          <bgColor rgb="FFE8F5E9"/>
        </patternFill>
      </fill>
    </dxf>
    <dxf>
      <fill>
        <patternFill patternType="solid">
          <bgColor rgb="FFE8F5E9"/>
        </patternFill>
      </fill>
    </dxf>
    <dxf>
      <fill>
        <patternFill>
          <bgColor rgb="FFDAF2D0"/>
        </patternFill>
      </fill>
    </dxf>
    <dxf>
      <fill>
        <patternFill>
          <bgColor rgb="FFDAF2D0"/>
        </patternFill>
      </fill>
    </dxf>
    <dxf>
      <fill>
        <patternFill>
          <bgColor rgb="FFDAF2D0"/>
        </patternFill>
      </fill>
    </dxf>
    <dxf>
      <fill>
        <patternFill>
          <bgColor rgb="FFDAF2D0"/>
        </patternFill>
      </fill>
    </dxf>
    <dxf>
      <fill>
        <patternFill>
          <bgColor rgb="FFDAF2D0"/>
        </patternFill>
      </fill>
    </dxf>
    <dxf>
      <alignment horizontal="right"/>
    </dxf>
    <dxf>
      <fill>
        <patternFill patternType="solid">
          <bgColor rgb="FFE8F5E9"/>
        </patternFill>
      </fill>
    </dxf>
    <dxf>
      <fill>
        <patternFill patternType="solid">
          <bgColor rgb="FFE8F5E9"/>
        </patternFill>
      </fill>
    </dxf>
    <dxf>
      <fill>
        <patternFill patternType="solid">
          <bgColor rgb="FFE8F5E9"/>
        </patternFill>
      </fill>
    </dxf>
    <dxf>
      <fill>
        <patternFill patternType="solid">
          <bgColor rgb="FFE8F5E9"/>
        </patternFill>
      </fill>
    </dxf>
    <dxf>
      <fill>
        <patternFill patternType="solid">
          <bgColor rgb="FFE8F5E9"/>
        </patternFill>
      </fill>
    </dxf>
    <dxf>
      <fill>
        <patternFill patternType="solid">
          <bgColor rgb="FFE8F5E9"/>
        </patternFill>
      </fill>
    </dxf>
    <dxf>
      <fill>
        <patternFill>
          <bgColor rgb="FFDAF2D0"/>
        </patternFill>
      </fill>
    </dxf>
    <dxf>
      <fill>
        <patternFill>
          <bgColor rgb="FFDAF2D0"/>
        </patternFill>
      </fill>
    </dxf>
    <dxf>
      <fill>
        <patternFill>
          <bgColor rgb="FFDAF2D0"/>
        </patternFill>
      </fill>
    </dxf>
    <dxf>
      <fill>
        <patternFill>
          <bgColor rgb="FFDAF2D0"/>
        </patternFill>
      </fill>
    </dxf>
    <dxf>
      <fill>
        <patternFill>
          <bgColor rgb="FFDAF2D0"/>
        </patternFill>
      </fill>
    </dxf>
    <dxf>
      <fill>
        <patternFill>
          <bgColor rgb="FFDAF2D0"/>
        </patternFill>
      </fill>
    </dxf>
    <dxf>
      <fill>
        <patternFill patternType="solid">
          <bgColor rgb="FFE8F5E9"/>
        </patternFill>
      </fill>
    </dxf>
    <dxf>
      <fill>
        <patternFill patternType="solid">
          <bgColor rgb="FFE8F5E9"/>
        </patternFill>
      </fill>
    </dxf>
    <dxf>
      <fill>
        <patternFill patternType="solid">
          <bgColor rgb="FFE8F5E9"/>
        </patternFill>
      </fill>
    </dxf>
    <dxf>
      <fill>
        <patternFill>
          <bgColor rgb="FFDAF2D0"/>
        </patternFill>
      </fill>
    </dxf>
    <dxf>
      <fill>
        <patternFill>
          <bgColor rgb="FFDAF2D0"/>
        </patternFill>
      </fill>
    </dxf>
    <dxf>
      <fill>
        <patternFill>
          <bgColor rgb="FFDAF2D0"/>
        </patternFill>
      </fill>
    </dxf>
    <dxf>
      <fill>
        <patternFill patternType="solid">
          <bgColor rgb="FFE8F5E9"/>
        </patternFill>
      </fill>
    </dxf>
    <dxf>
      <fill>
        <patternFill patternType="solid">
          <bgColor rgb="FFE8F5E9"/>
        </patternFill>
      </fill>
    </dxf>
    <dxf>
      <fill>
        <patternFill patternType="solid">
          <bgColor rgb="FFE8F5E9"/>
        </patternFill>
      </fill>
    </dxf>
    <dxf>
      <fill>
        <patternFill patternType="solid">
          <bgColor rgb="FFE8F5E9"/>
        </patternFill>
      </fill>
    </dxf>
    <dxf>
      <fill>
        <patternFill patternType="solid">
          <bgColor rgb="FFE8F5E9"/>
        </patternFill>
      </fill>
    </dxf>
    <dxf>
      <fill>
        <patternFill patternType="solid">
          <bgColor rgb="FFE8F5E9"/>
        </patternFill>
      </fill>
    </dxf>
    <dxf>
      <fill>
        <patternFill>
          <bgColor rgb="FFDAF2D0"/>
        </patternFill>
      </fill>
    </dxf>
    <dxf>
      <fill>
        <patternFill>
          <bgColor rgb="FFDAF2D0"/>
        </patternFill>
      </fill>
    </dxf>
    <dxf>
      <fill>
        <patternFill>
          <bgColor rgb="FFDAF2D0"/>
        </patternFill>
      </fill>
    </dxf>
    <dxf>
      <fill>
        <patternFill>
          <bgColor rgb="FFDAF2D0"/>
        </patternFill>
      </fill>
    </dxf>
    <dxf>
      <fill>
        <patternFill>
          <bgColor rgb="FFDAF2D0"/>
        </patternFill>
      </fill>
    </dxf>
    <dxf>
      <fill>
        <patternFill>
          <bgColor rgb="FFDAF2D0"/>
        </patternFill>
      </fill>
    </dxf>
    <dxf>
      <fill>
        <patternFill patternType="solid">
          <bgColor rgb="FFE8F5E9"/>
        </patternFill>
      </fill>
    </dxf>
    <dxf>
      <fill>
        <patternFill patternType="solid">
          <bgColor rgb="FFE8F5E9"/>
        </patternFill>
      </fill>
    </dxf>
    <dxf>
      <fill>
        <patternFill patternType="solid">
          <bgColor rgb="FFE8F5E9"/>
        </patternFill>
      </fill>
    </dxf>
    <dxf>
      <fill>
        <patternFill>
          <bgColor rgb="FFDAF2D0"/>
        </patternFill>
      </fill>
    </dxf>
    <dxf>
      <fill>
        <patternFill>
          <bgColor rgb="FFDAF2D0"/>
        </patternFill>
      </fill>
    </dxf>
    <dxf>
      <fill>
        <patternFill>
          <bgColor rgb="FFDAF2D0"/>
        </patternFill>
      </fill>
    </dxf>
    <dxf>
      <alignment horizontal="right"/>
    </dxf>
    <dxf>
      <fill>
        <patternFill patternType="solid">
          <bgColor rgb="FFE8F5E9"/>
        </patternFill>
      </fill>
    </dxf>
    <dxf>
      <fill>
        <patternFill patternType="solid">
          <bgColor rgb="FFE8F5E9"/>
        </patternFill>
      </fill>
    </dxf>
    <dxf>
      <fill>
        <patternFill patternType="solid">
          <bgColor rgb="FFE8F5E9"/>
        </patternFill>
      </fill>
    </dxf>
    <dxf>
      <fill>
        <patternFill patternType="solid">
          <bgColor rgb="FFE8F5E9"/>
        </patternFill>
      </fill>
    </dxf>
    <dxf>
      <fill>
        <patternFill patternType="solid">
          <bgColor rgb="FFE8F5E9"/>
        </patternFill>
      </fill>
    </dxf>
    <dxf>
      <fill>
        <patternFill patternType="solid">
          <bgColor rgb="FFE8F5E9"/>
        </patternFill>
      </fill>
    </dxf>
    <dxf>
      <fill>
        <patternFill>
          <bgColor rgb="FFDAF2D0"/>
        </patternFill>
      </fill>
    </dxf>
    <dxf>
      <fill>
        <patternFill>
          <bgColor rgb="FFDAF2D0"/>
        </patternFill>
      </fill>
    </dxf>
    <dxf>
      <fill>
        <patternFill>
          <bgColor rgb="FFDAF2D0"/>
        </patternFill>
      </fill>
    </dxf>
    <dxf>
      <fill>
        <patternFill>
          <bgColor rgb="FFDAF2D0"/>
        </patternFill>
      </fill>
    </dxf>
    <dxf>
      <fill>
        <patternFill>
          <bgColor rgb="FFDAF2D0"/>
        </patternFill>
      </fill>
    </dxf>
    <dxf>
      <fill>
        <patternFill>
          <bgColor rgb="FFDAF2D0"/>
        </patternFill>
      </fill>
    </dxf>
    <dxf>
      <fill>
        <patternFill patternType="solid">
          <bgColor rgb="FFE8F5E9"/>
        </patternFill>
      </fill>
    </dxf>
    <dxf>
      <fill>
        <patternFill patternType="solid">
          <bgColor rgb="FFE8F5E9"/>
        </patternFill>
      </fill>
    </dxf>
    <dxf>
      <fill>
        <patternFill patternType="solid">
          <bgColor rgb="FFE8F5E9"/>
        </patternFill>
      </fill>
    </dxf>
    <dxf>
      <fill>
        <patternFill patternType="solid">
          <bgColor rgb="FFE8F5E9"/>
        </patternFill>
      </fill>
    </dxf>
    <dxf>
      <fill>
        <patternFill patternType="solid">
          <bgColor rgb="FFE8F5E9"/>
        </patternFill>
      </fill>
    </dxf>
    <dxf>
      <fill>
        <patternFill>
          <bgColor rgb="FFDAF2D0"/>
        </patternFill>
      </fill>
    </dxf>
    <dxf>
      <fill>
        <patternFill>
          <bgColor rgb="FFDAF2D0"/>
        </patternFill>
      </fill>
    </dxf>
    <dxf>
      <fill>
        <patternFill>
          <bgColor rgb="FFDAF2D0"/>
        </patternFill>
      </fill>
    </dxf>
    <dxf>
      <fill>
        <patternFill>
          <bgColor rgb="FFDAF2D0"/>
        </patternFill>
      </fill>
    </dxf>
    <dxf>
      <fill>
        <patternFill>
          <bgColor rgb="FFDAF2D0"/>
        </patternFill>
      </fill>
    </dxf>
    <dxf>
      <fill>
        <patternFill patternType="solid">
          <bgColor rgb="FFE8F5E9"/>
        </patternFill>
      </fill>
    </dxf>
    <dxf>
      <fill>
        <patternFill patternType="solid">
          <bgColor rgb="FFE8F5E9"/>
        </patternFill>
      </fill>
    </dxf>
    <dxf>
      <fill>
        <patternFill patternType="solid">
          <bgColor rgb="FFE8F5E9"/>
        </patternFill>
      </fill>
    </dxf>
    <dxf>
      <fill>
        <patternFill patternType="solid">
          <bgColor rgb="FFE8F5E9"/>
        </patternFill>
      </fill>
    </dxf>
    <dxf>
      <fill>
        <patternFill patternType="solid">
          <bgColor rgb="FFE8F5E9"/>
        </patternFill>
      </fill>
    </dxf>
    <dxf>
      <fill>
        <patternFill>
          <bgColor rgb="FFDAF2D0"/>
        </patternFill>
      </fill>
    </dxf>
    <dxf>
      <fill>
        <patternFill>
          <bgColor rgb="FFDAF2D0"/>
        </patternFill>
      </fill>
    </dxf>
    <dxf>
      <fill>
        <patternFill>
          <bgColor rgb="FFDAF2D0"/>
        </patternFill>
      </fill>
    </dxf>
    <dxf>
      <fill>
        <patternFill>
          <bgColor rgb="FFDAF2D0"/>
        </patternFill>
      </fill>
    </dxf>
    <dxf>
      <fill>
        <patternFill>
          <bgColor rgb="FFDAF2D0"/>
        </patternFill>
      </fill>
    </dxf>
    <dxf>
      <alignment horizontal="right"/>
    </dxf>
    <dxf>
      <fill>
        <patternFill patternType="solid">
          <bgColor rgb="FFE8F5E9"/>
        </patternFill>
      </fill>
    </dxf>
    <dxf>
      <fill>
        <patternFill patternType="solid">
          <bgColor rgb="FFE8F5E9"/>
        </patternFill>
      </fill>
    </dxf>
    <dxf>
      <fill>
        <patternFill patternType="solid">
          <bgColor rgb="FFE8F5E9"/>
        </patternFill>
      </fill>
    </dxf>
    <dxf>
      <fill>
        <patternFill patternType="solid">
          <bgColor rgb="FFE8F5E9"/>
        </patternFill>
      </fill>
    </dxf>
    <dxf>
      <fill>
        <patternFill patternType="solid">
          <bgColor rgb="FFE8F5E9"/>
        </patternFill>
      </fill>
    </dxf>
    <dxf>
      <fill>
        <patternFill>
          <bgColor rgb="FFDAF2D0"/>
        </patternFill>
      </fill>
    </dxf>
    <dxf>
      <fill>
        <patternFill>
          <bgColor rgb="FFDAF2D0"/>
        </patternFill>
      </fill>
    </dxf>
    <dxf>
      <fill>
        <patternFill>
          <bgColor rgb="FFDAF2D0"/>
        </patternFill>
      </fill>
    </dxf>
    <dxf>
      <fill>
        <patternFill>
          <bgColor rgb="FFDAF2D0"/>
        </patternFill>
      </fill>
    </dxf>
    <dxf>
      <fill>
        <patternFill>
          <bgColor rgb="FFDAF2D0"/>
        </patternFill>
      </fill>
    </dxf>
    <dxf>
      <alignment horizontal="right"/>
    </dxf>
    <dxf>
      <fill>
        <patternFill patternType="solid">
          <bgColor rgb="FFE8F5E9"/>
        </patternFill>
      </fill>
    </dxf>
    <dxf>
      <fill>
        <patternFill patternType="solid">
          <bgColor rgb="FFE8F5E9"/>
        </patternFill>
      </fill>
    </dxf>
    <dxf>
      <fill>
        <patternFill patternType="solid">
          <bgColor rgb="FFE8F5E9"/>
        </patternFill>
      </fill>
    </dxf>
    <dxf>
      <fill>
        <patternFill patternType="solid">
          <bgColor rgb="FFE8F5E9"/>
        </patternFill>
      </fill>
    </dxf>
    <dxf>
      <fill>
        <patternFill patternType="solid">
          <bgColor rgb="FFE8F5E9"/>
        </patternFill>
      </fill>
    </dxf>
    <dxf>
      <fill>
        <patternFill>
          <bgColor rgb="FFDAF2D0"/>
        </patternFill>
      </fill>
    </dxf>
    <dxf>
      <fill>
        <patternFill>
          <bgColor rgb="FFDAF2D0"/>
        </patternFill>
      </fill>
    </dxf>
    <dxf>
      <fill>
        <patternFill>
          <bgColor rgb="FFDAF2D0"/>
        </patternFill>
      </fill>
    </dxf>
    <dxf>
      <fill>
        <patternFill>
          <bgColor rgb="FFDAF2D0"/>
        </patternFill>
      </fill>
    </dxf>
    <dxf>
      <fill>
        <patternFill>
          <bgColor rgb="FFDAF2D0"/>
        </patternFill>
      </fill>
    </dxf>
    <dxf>
      <alignment horizontal="right"/>
    </dxf>
    <dxf>
      <fill>
        <patternFill patternType="solid">
          <bgColor rgb="FFE8F5E9"/>
        </patternFill>
      </fill>
    </dxf>
    <dxf>
      <fill>
        <patternFill patternType="solid">
          <bgColor rgb="FFE8F5E9"/>
        </patternFill>
      </fill>
    </dxf>
    <dxf>
      <fill>
        <patternFill patternType="solid">
          <bgColor rgb="FFE8F5E9"/>
        </patternFill>
      </fill>
    </dxf>
    <dxf>
      <fill>
        <patternFill patternType="solid">
          <bgColor rgb="FFE8F5E9"/>
        </patternFill>
      </fill>
    </dxf>
    <dxf>
      <fill>
        <patternFill patternType="solid">
          <bgColor rgb="FFE8F5E9"/>
        </patternFill>
      </fill>
    </dxf>
    <dxf>
      <fill>
        <patternFill patternType="solid">
          <bgColor rgb="FFE8F5E9"/>
        </patternFill>
      </fill>
    </dxf>
    <dxf>
      <fill>
        <patternFill>
          <bgColor rgb="FFDAF2D0"/>
        </patternFill>
      </fill>
    </dxf>
    <dxf>
      <fill>
        <patternFill>
          <bgColor rgb="FFDAF2D0"/>
        </patternFill>
      </fill>
    </dxf>
    <dxf>
      <fill>
        <patternFill>
          <bgColor rgb="FFDAF2D0"/>
        </patternFill>
      </fill>
    </dxf>
    <dxf>
      <fill>
        <patternFill>
          <bgColor rgb="FFDAF2D0"/>
        </patternFill>
      </fill>
    </dxf>
    <dxf>
      <fill>
        <patternFill>
          <bgColor rgb="FFDAF2D0"/>
        </patternFill>
      </fill>
    </dxf>
    <dxf>
      <fill>
        <patternFill>
          <bgColor rgb="FFDAF2D0"/>
        </patternFill>
      </fill>
    </dxf>
    <dxf>
      <fill>
        <patternFill patternType="solid">
          <bgColor rgb="FFE8F5E9"/>
        </patternFill>
      </fill>
    </dxf>
    <dxf>
      <fill>
        <patternFill patternType="solid">
          <bgColor rgb="FFE8F5E9"/>
        </patternFill>
      </fill>
    </dxf>
    <dxf>
      <fill>
        <patternFill patternType="solid">
          <bgColor rgb="FFE8F5E9"/>
        </patternFill>
      </fill>
    </dxf>
    <dxf>
      <fill>
        <patternFill>
          <bgColor rgb="FFDAF2D0"/>
        </patternFill>
      </fill>
    </dxf>
    <dxf>
      <fill>
        <patternFill>
          <bgColor rgb="FFDAF2D0"/>
        </patternFill>
      </fill>
    </dxf>
    <dxf>
      <fill>
        <patternFill>
          <bgColor rgb="FFDAF2D0"/>
        </patternFill>
      </fill>
    </dxf>
    <dxf>
      <fill>
        <patternFill patternType="solid">
          <bgColor rgb="FFE8F5E9"/>
        </patternFill>
      </fill>
    </dxf>
    <dxf>
      <fill>
        <patternFill patternType="solid">
          <bgColor rgb="FFE8F5E9"/>
        </patternFill>
      </fill>
    </dxf>
    <dxf>
      <fill>
        <patternFill patternType="solid">
          <bgColor rgb="FFE8F5E9"/>
        </patternFill>
      </fill>
    </dxf>
    <dxf>
      <fill>
        <patternFill patternType="solid">
          <bgColor rgb="FFE8F5E9"/>
        </patternFill>
      </fill>
    </dxf>
    <dxf>
      <fill>
        <patternFill patternType="solid">
          <bgColor rgb="FFE8F5E9"/>
        </patternFill>
      </fill>
    </dxf>
    <dxf>
      <fill>
        <patternFill patternType="solid">
          <bgColor rgb="FFE8F5E9"/>
        </patternFill>
      </fill>
    </dxf>
    <dxf>
      <fill>
        <patternFill>
          <bgColor rgb="FFDAF2D0"/>
        </patternFill>
      </fill>
    </dxf>
    <dxf>
      <fill>
        <patternFill>
          <bgColor rgb="FFDAF2D0"/>
        </patternFill>
      </fill>
    </dxf>
    <dxf>
      <fill>
        <patternFill>
          <bgColor rgb="FFDAF2D0"/>
        </patternFill>
      </fill>
    </dxf>
    <dxf>
      <fill>
        <patternFill>
          <bgColor rgb="FFDAF2D0"/>
        </patternFill>
      </fill>
    </dxf>
    <dxf>
      <fill>
        <patternFill>
          <bgColor rgb="FFDAF2D0"/>
        </patternFill>
      </fill>
    </dxf>
    <dxf>
      <fill>
        <patternFill>
          <bgColor rgb="FFDAF2D0"/>
        </patternFill>
      </fill>
    </dxf>
    <dxf>
      <fill>
        <patternFill patternType="solid">
          <bgColor rgb="FFE8F5E9"/>
        </patternFill>
      </fill>
    </dxf>
    <dxf>
      <fill>
        <patternFill patternType="solid">
          <bgColor rgb="FFE8F5E9"/>
        </patternFill>
      </fill>
    </dxf>
    <dxf>
      <fill>
        <patternFill patternType="solid">
          <bgColor rgb="FFE8F5E9"/>
        </patternFill>
      </fill>
    </dxf>
    <dxf>
      <fill>
        <patternFill>
          <bgColor rgb="FFDAF2D0"/>
        </patternFill>
      </fill>
    </dxf>
    <dxf>
      <fill>
        <patternFill>
          <bgColor rgb="FFDAF2D0"/>
        </patternFill>
      </fill>
    </dxf>
    <dxf>
      <fill>
        <patternFill>
          <bgColor rgb="FFDAF2D0"/>
        </patternFill>
      </fill>
    </dxf>
    <dxf>
      <alignment horizontal="right"/>
    </dxf>
    <dxf>
      <fill>
        <patternFill patternType="solid">
          <bgColor rgb="FFE8F5E9"/>
        </patternFill>
      </fill>
    </dxf>
    <dxf>
      <fill>
        <patternFill patternType="solid">
          <bgColor rgb="FFE8F5E9"/>
        </patternFill>
      </fill>
    </dxf>
    <dxf>
      <fill>
        <patternFill patternType="solid">
          <bgColor rgb="FFE8F5E9"/>
        </patternFill>
      </fill>
    </dxf>
    <dxf>
      <fill>
        <patternFill patternType="solid">
          <bgColor rgb="FFE8F5E9"/>
        </patternFill>
      </fill>
    </dxf>
    <dxf>
      <fill>
        <patternFill patternType="solid">
          <bgColor rgb="FFE8F5E9"/>
        </patternFill>
      </fill>
    </dxf>
    <dxf>
      <fill>
        <patternFill patternType="solid">
          <bgColor rgb="FFE8F5E9"/>
        </patternFill>
      </fill>
    </dxf>
    <dxf>
      <fill>
        <patternFill>
          <bgColor rgb="FFDAF2D0"/>
        </patternFill>
      </fill>
    </dxf>
    <dxf>
      <fill>
        <patternFill>
          <bgColor rgb="FFDAF2D0"/>
        </patternFill>
      </fill>
    </dxf>
    <dxf>
      <fill>
        <patternFill>
          <bgColor rgb="FFDAF2D0"/>
        </patternFill>
      </fill>
    </dxf>
    <dxf>
      <fill>
        <patternFill>
          <bgColor rgb="FFDAF2D0"/>
        </patternFill>
      </fill>
    </dxf>
    <dxf>
      <fill>
        <patternFill>
          <bgColor rgb="FFDAF2D0"/>
        </patternFill>
      </fill>
    </dxf>
    <dxf>
      <fill>
        <patternFill>
          <bgColor rgb="FFDAF2D0"/>
        </patternFill>
      </fill>
    </dxf>
    <dxf>
      <fill>
        <patternFill patternType="solid">
          <bgColor rgb="FFE8F5E9"/>
        </patternFill>
      </fill>
    </dxf>
    <dxf>
      <fill>
        <patternFill patternType="solid">
          <bgColor rgb="FFE8F5E9"/>
        </patternFill>
      </fill>
    </dxf>
    <dxf>
      <fill>
        <patternFill patternType="solid">
          <bgColor rgb="FFE8F5E9"/>
        </patternFill>
      </fill>
    </dxf>
    <dxf>
      <fill>
        <patternFill patternType="solid">
          <bgColor rgb="FFE8F5E9"/>
        </patternFill>
      </fill>
    </dxf>
    <dxf>
      <fill>
        <patternFill patternType="solid">
          <bgColor rgb="FFE8F5E9"/>
        </patternFill>
      </fill>
    </dxf>
    <dxf>
      <fill>
        <patternFill>
          <bgColor rgb="FFDAF2D0"/>
        </patternFill>
      </fill>
    </dxf>
    <dxf>
      <fill>
        <patternFill>
          <bgColor rgb="FFDAF2D0"/>
        </patternFill>
      </fill>
    </dxf>
    <dxf>
      <fill>
        <patternFill>
          <bgColor rgb="FFDAF2D0"/>
        </patternFill>
      </fill>
    </dxf>
    <dxf>
      <fill>
        <patternFill>
          <bgColor rgb="FFDAF2D0"/>
        </patternFill>
      </fill>
    </dxf>
    <dxf>
      <fill>
        <patternFill>
          <bgColor rgb="FFDAF2D0"/>
        </patternFill>
      </fill>
    </dxf>
    <dxf>
      <fill>
        <patternFill patternType="solid">
          <bgColor rgb="FFE8F5E9"/>
        </patternFill>
      </fill>
    </dxf>
    <dxf>
      <fill>
        <patternFill patternType="solid">
          <bgColor rgb="FFE8F5E9"/>
        </patternFill>
      </fill>
    </dxf>
    <dxf>
      <fill>
        <patternFill patternType="solid">
          <bgColor rgb="FFE8F5E9"/>
        </patternFill>
      </fill>
    </dxf>
    <dxf>
      <fill>
        <patternFill patternType="solid">
          <bgColor rgb="FFE8F5E9"/>
        </patternFill>
      </fill>
    </dxf>
    <dxf>
      <fill>
        <patternFill patternType="solid">
          <bgColor rgb="FFE8F5E9"/>
        </patternFill>
      </fill>
    </dxf>
    <dxf>
      <fill>
        <patternFill>
          <bgColor rgb="FFDAF2D0"/>
        </patternFill>
      </fill>
    </dxf>
    <dxf>
      <fill>
        <patternFill>
          <bgColor rgb="FFDAF2D0"/>
        </patternFill>
      </fill>
    </dxf>
    <dxf>
      <fill>
        <patternFill>
          <bgColor rgb="FFDAF2D0"/>
        </patternFill>
      </fill>
    </dxf>
    <dxf>
      <fill>
        <patternFill>
          <bgColor rgb="FFDAF2D0"/>
        </patternFill>
      </fill>
    </dxf>
    <dxf>
      <fill>
        <patternFill>
          <bgColor rgb="FFDAF2D0"/>
        </patternFill>
      </fill>
    </dxf>
    <dxf>
      <alignment horizontal="right"/>
    </dxf>
    <dxf>
      <fill>
        <patternFill patternType="solid">
          <bgColor rgb="FFE8F5E9"/>
        </patternFill>
      </fill>
    </dxf>
    <dxf>
      <fill>
        <patternFill patternType="solid">
          <bgColor rgb="FFE8F5E9"/>
        </patternFill>
      </fill>
    </dxf>
    <dxf>
      <fill>
        <patternFill patternType="solid">
          <bgColor rgb="FFE8F5E9"/>
        </patternFill>
      </fill>
    </dxf>
    <dxf>
      <fill>
        <patternFill patternType="solid">
          <bgColor rgb="FFE8F5E9"/>
        </patternFill>
      </fill>
    </dxf>
    <dxf>
      <fill>
        <patternFill patternType="solid">
          <bgColor rgb="FFE8F5E9"/>
        </patternFill>
      </fill>
    </dxf>
    <dxf>
      <fill>
        <patternFill>
          <bgColor rgb="FFDAF2D0"/>
        </patternFill>
      </fill>
    </dxf>
    <dxf>
      <fill>
        <patternFill>
          <bgColor rgb="FFDAF2D0"/>
        </patternFill>
      </fill>
    </dxf>
    <dxf>
      <fill>
        <patternFill>
          <bgColor rgb="FFDAF2D0"/>
        </patternFill>
      </fill>
    </dxf>
    <dxf>
      <fill>
        <patternFill>
          <bgColor rgb="FFDAF2D0"/>
        </patternFill>
      </fill>
    </dxf>
    <dxf>
      <fill>
        <patternFill>
          <bgColor rgb="FFDAF2D0"/>
        </patternFill>
      </fill>
    </dxf>
    <dxf>
      <alignment horizontal="right"/>
    </dxf>
    <dxf>
      <fill>
        <patternFill patternType="solid">
          <bgColor rgb="FFE8F5E9"/>
        </patternFill>
      </fill>
    </dxf>
    <dxf>
      <fill>
        <patternFill patternType="solid">
          <bgColor rgb="FFE8F5E9"/>
        </patternFill>
      </fill>
    </dxf>
    <dxf>
      <fill>
        <patternFill patternType="solid">
          <bgColor rgb="FFE8F5E9"/>
        </patternFill>
      </fill>
    </dxf>
    <dxf>
      <fill>
        <patternFill patternType="solid">
          <bgColor rgb="FFE8F5E9"/>
        </patternFill>
      </fill>
    </dxf>
    <dxf>
      <fill>
        <patternFill patternType="solid">
          <bgColor rgb="FFE8F5E9"/>
        </patternFill>
      </fill>
    </dxf>
    <dxf>
      <fill>
        <patternFill>
          <bgColor rgb="FFDAF2D0"/>
        </patternFill>
      </fill>
    </dxf>
    <dxf>
      <fill>
        <patternFill>
          <bgColor rgb="FFDAF2D0"/>
        </patternFill>
      </fill>
    </dxf>
    <dxf>
      <fill>
        <patternFill>
          <bgColor rgb="FFDAF2D0"/>
        </patternFill>
      </fill>
    </dxf>
    <dxf>
      <fill>
        <patternFill>
          <bgColor rgb="FFDAF2D0"/>
        </patternFill>
      </fill>
    </dxf>
    <dxf>
      <fill>
        <patternFill>
          <bgColor rgb="FFDAF2D0"/>
        </patternFill>
      </fill>
    </dxf>
    <dxf>
      <alignment horizontal="right"/>
    </dxf>
    <dxf>
      <fill>
        <patternFill patternType="solid">
          <bgColor rgb="FFE8F5E9"/>
        </patternFill>
      </fill>
    </dxf>
    <dxf>
      <fill>
        <patternFill patternType="solid">
          <bgColor rgb="FFE8F5E9"/>
        </patternFill>
      </fill>
    </dxf>
    <dxf>
      <fill>
        <patternFill patternType="solid">
          <bgColor rgb="FFE8F5E9"/>
        </patternFill>
      </fill>
    </dxf>
    <dxf>
      <fill>
        <patternFill patternType="solid">
          <bgColor rgb="FFE8F5E9"/>
        </patternFill>
      </fill>
    </dxf>
    <dxf>
      <fill>
        <patternFill patternType="solid">
          <bgColor rgb="FFE8F5E9"/>
        </patternFill>
      </fill>
    </dxf>
    <dxf>
      <fill>
        <patternFill patternType="solid">
          <bgColor rgb="FFE8F5E9"/>
        </patternFill>
      </fill>
    </dxf>
    <dxf>
      <fill>
        <patternFill>
          <bgColor rgb="FFDAF2D0"/>
        </patternFill>
      </fill>
    </dxf>
    <dxf>
      <fill>
        <patternFill>
          <bgColor rgb="FFDAF2D0"/>
        </patternFill>
      </fill>
    </dxf>
    <dxf>
      <fill>
        <patternFill>
          <bgColor rgb="FFDAF2D0"/>
        </patternFill>
      </fill>
    </dxf>
    <dxf>
      <fill>
        <patternFill>
          <bgColor rgb="FFDAF2D0"/>
        </patternFill>
      </fill>
    </dxf>
    <dxf>
      <fill>
        <patternFill>
          <bgColor rgb="FFDAF2D0"/>
        </patternFill>
      </fill>
    </dxf>
    <dxf>
      <fill>
        <patternFill>
          <bgColor rgb="FFDAF2D0"/>
        </patternFill>
      </fill>
    </dxf>
    <dxf>
      <fill>
        <patternFill>
          <bgColor rgb="FFDAF2D0"/>
        </patternFill>
      </fill>
    </dxf>
    <dxf>
      <fill>
        <patternFill>
          <bgColor rgb="FFDAF2D0"/>
        </patternFill>
      </fill>
    </dxf>
    <dxf>
      <fill>
        <patternFill>
          <bgColor rgb="FFDAF2D0"/>
        </patternFill>
      </fill>
    </dxf>
    <dxf>
      <fill>
        <patternFill>
          <bgColor rgb="FFDAF2D0"/>
        </patternFill>
      </fill>
    </dxf>
    <dxf>
      <fill>
        <patternFill>
          <bgColor rgb="FFDAF2D0"/>
        </patternFill>
      </fill>
    </dxf>
    <dxf>
      <fill>
        <patternFill>
          <bgColor rgb="FFDAF2D0"/>
        </patternFill>
      </fill>
    </dxf>
    <dxf>
      <fill>
        <patternFill>
          <bgColor rgb="FFDAF2D0"/>
        </patternFill>
      </fill>
    </dxf>
    <dxf>
      <fill>
        <patternFill>
          <bgColor rgb="FFDAF2D0"/>
        </patternFill>
      </fill>
    </dxf>
    <dxf>
      <fill>
        <patternFill>
          <bgColor rgb="FFDAF2D0"/>
        </patternFill>
      </fill>
    </dxf>
    <dxf>
      <fill>
        <patternFill>
          <bgColor rgb="FFDAF2D0"/>
        </patternFill>
      </fill>
    </dxf>
    <dxf>
      <fill>
        <patternFill>
          <bgColor rgb="FFDAF2D0"/>
        </patternFill>
      </fill>
    </dxf>
    <dxf>
      <fill>
        <patternFill>
          <bgColor rgb="FFDAF2D0"/>
        </patternFill>
      </fill>
    </dxf>
    <dxf>
      <fill>
        <patternFill>
          <bgColor rgb="FFDAF2D0"/>
        </patternFill>
      </fill>
    </dxf>
    <dxf>
      <fill>
        <patternFill>
          <bgColor rgb="FFDAF2D0"/>
        </patternFill>
      </fill>
    </dxf>
    <dxf>
      <fill>
        <patternFill>
          <bgColor rgb="FFDAF2D0"/>
        </patternFill>
      </fill>
    </dxf>
    <dxf>
      <fill>
        <patternFill>
          <bgColor rgb="FFDAF2D0"/>
        </patternFill>
      </fill>
    </dxf>
    <dxf>
      <fill>
        <patternFill>
          <bgColor rgb="FFDAF2D0"/>
        </patternFill>
      </fill>
    </dxf>
    <dxf>
      <fill>
        <patternFill>
          <bgColor rgb="FFDAF2D0"/>
        </patternFill>
      </fill>
    </dxf>
    <dxf>
      <fill>
        <patternFill>
          <bgColor rgb="FFDAF2D0"/>
        </patternFill>
      </fill>
    </dxf>
    <dxf>
      <fill>
        <patternFill>
          <bgColor rgb="FFDAF2D0"/>
        </patternFill>
      </fill>
    </dxf>
    <dxf>
      <fill>
        <patternFill>
          <bgColor rgb="FFDAF2D0"/>
        </patternFill>
      </fill>
    </dxf>
    <dxf>
      <fill>
        <patternFill>
          <bgColor rgb="FFDAF2D0"/>
        </patternFill>
      </fill>
    </dxf>
    <dxf>
      <fill>
        <patternFill>
          <bgColor rgb="FFDAF2D0"/>
        </patternFill>
      </fill>
    </dxf>
    <dxf>
      <fill>
        <patternFill>
          <bgColor rgb="FFDAF2D0"/>
        </patternFill>
      </fill>
    </dxf>
    <dxf>
      <fill>
        <patternFill>
          <bgColor rgb="FFDAF2D0"/>
        </patternFill>
      </fill>
    </dxf>
    <dxf>
      <fill>
        <patternFill>
          <bgColor rgb="FFDAF2D0"/>
        </patternFill>
      </fill>
    </dxf>
    <dxf>
      <fill>
        <patternFill>
          <bgColor rgb="FFDAF2D0"/>
        </patternFill>
      </fill>
    </dxf>
    <dxf>
      <fill>
        <patternFill>
          <bgColor rgb="FFDAF2D0"/>
        </patternFill>
      </fill>
    </dxf>
    <dxf>
      <fill>
        <patternFill>
          <bgColor rgb="FFDAF2D0"/>
        </patternFill>
      </fill>
    </dxf>
    <dxf>
      <fill>
        <patternFill>
          <bgColor rgb="FFDAF2D0"/>
        </patternFill>
      </fill>
    </dxf>
    <dxf>
      <fill>
        <patternFill>
          <bgColor rgb="FFDAF2D0"/>
        </patternFill>
      </fill>
    </dxf>
    <dxf>
      <fill>
        <patternFill>
          <bgColor rgb="FFDAF2D0"/>
        </patternFill>
      </fill>
    </dxf>
    <dxf>
      <fill>
        <patternFill>
          <bgColor rgb="FFDAF2D0"/>
        </patternFill>
      </fill>
    </dxf>
    <dxf>
      <fill>
        <patternFill>
          <bgColor rgb="FFDAF2D0"/>
        </patternFill>
      </fill>
    </dxf>
    <dxf>
      <fill>
        <patternFill>
          <bgColor rgb="FFDAF2D0"/>
        </patternFill>
      </fill>
    </dxf>
    <dxf>
      <fill>
        <patternFill>
          <bgColor rgb="FFDAF2D0"/>
        </patternFill>
      </fill>
    </dxf>
    <dxf>
      <fill>
        <patternFill>
          <bgColor rgb="FFDAF2D0"/>
        </patternFill>
      </fill>
    </dxf>
    <dxf>
      <fill>
        <patternFill>
          <bgColor rgb="FFDAF2D0"/>
        </patternFill>
      </fill>
    </dxf>
    <dxf>
      <fill>
        <patternFill>
          <bgColor rgb="FFDAF2D0"/>
        </patternFill>
      </fill>
    </dxf>
    <dxf>
      <fill>
        <patternFill>
          <bgColor rgb="FFDAF2D0"/>
        </patternFill>
      </fill>
    </dxf>
    <dxf>
      <fill>
        <patternFill>
          <bgColor rgb="FFDAF2D0"/>
        </patternFill>
      </fill>
    </dxf>
    <dxf>
      <fill>
        <patternFill>
          <bgColor rgb="FFDAF2D0"/>
        </patternFill>
      </fill>
    </dxf>
    <dxf>
      <fill>
        <patternFill>
          <bgColor rgb="FFDAF2D0"/>
        </patternFill>
      </fill>
    </dxf>
    <dxf>
      <fill>
        <patternFill>
          <bgColor rgb="FFDAF2D0"/>
        </patternFill>
      </fill>
    </dxf>
    <dxf>
      <fill>
        <patternFill>
          <bgColor rgb="FFDAF2D0"/>
        </patternFill>
      </fill>
    </dxf>
    <dxf>
      <fill>
        <patternFill>
          <bgColor rgb="FFDAF2D0"/>
        </patternFill>
      </fill>
    </dxf>
    <dxf>
      <fill>
        <patternFill>
          <bgColor rgb="FFDAF2D0"/>
        </patternFill>
      </fill>
    </dxf>
    <dxf>
      <fill>
        <patternFill>
          <bgColor rgb="FFDAF2D0"/>
        </patternFill>
      </fill>
    </dxf>
    <dxf>
      <fill>
        <patternFill>
          <bgColor rgb="FFDAF2D0"/>
        </patternFill>
      </fill>
    </dxf>
    <dxf>
      <fill>
        <patternFill>
          <bgColor rgb="FFDAF2D0"/>
        </patternFill>
      </fill>
    </dxf>
    <dxf>
      <fill>
        <patternFill>
          <bgColor rgb="FFDAF2D0"/>
        </patternFill>
      </fill>
    </dxf>
    <dxf>
      <fill>
        <patternFill>
          <bgColor rgb="FFDAF2D0"/>
        </patternFill>
      </fill>
    </dxf>
    <dxf>
      <fill>
        <patternFill>
          <bgColor rgb="FFDAF2D0"/>
        </patternFill>
      </fill>
    </dxf>
    <dxf>
      <fill>
        <patternFill patternType="solid">
          <bgColor rgb="FFE8F5E9"/>
        </patternFill>
      </fill>
    </dxf>
    <dxf>
      <fill>
        <patternFill patternType="solid">
          <bgColor rgb="FFE8F5E9"/>
        </patternFill>
      </fill>
    </dxf>
    <dxf>
      <fill>
        <patternFill patternType="solid">
          <bgColor rgb="FFE8F5E9"/>
        </patternFill>
      </fill>
    </dxf>
    <dxf>
      <fill>
        <patternFill patternType="solid">
          <bgColor rgb="FFE8F5E9"/>
        </patternFill>
      </fill>
    </dxf>
    <dxf>
      <fill>
        <patternFill patternType="solid">
          <bgColor rgb="FFE8F5E9"/>
        </patternFill>
      </fill>
    </dxf>
    <dxf>
      <fill>
        <patternFill patternType="solid">
          <bgColor rgb="FFE8F5E9"/>
        </patternFill>
      </fill>
    </dxf>
    <dxf>
      <fill>
        <patternFill patternType="solid">
          <bgColor rgb="FFE8F5E9"/>
        </patternFill>
      </fill>
    </dxf>
    <dxf>
      <fill>
        <patternFill patternType="solid">
          <bgColor rgb="FFE8F5E9"/>
        </patternFill>
      </fill>
    </dxf>
    <dxf>
      <fill>
        <patternFill patternType="solid">
          <bgColor rgb="FFE8F5E9"/>
        </patternFill>
      </fill>
    </dxf>
    <dxf>
      <fill>
        <patternFill patternType="solid">
          <bgColor rgb="FFE8F5E9"/>
        </patternFill>
      </fill>
    </dxf>
    <dxf>
      <fill>
        <patternFill patternType="solid">
          <bgColor rgb="FFE8F5E9"/>
        </patternFill>
      </fill>
    </dxf>
    <dxf>
      <fill>
        <patternFill patternType="solid">
          <bgColor rgb="FFE8F5E9"/>
        </patternFill>
      </fill>
    </dxf>
    <dxf>
      <fill>
        <patternFill patternType="solid">
          <bgColor rgb="FFE8F5E9"/>
        </patternFill>
      </fill>
    </dxf>
    <dxf>
      <fill>
        <patternFill patternType="solid">
          <bgColor rgb="FFE8F5E9"/>
        </patternFill>
      </fill>
    </dxf>
    <dxf>
      <fill>
        <patternFill patternType="solid">
          <bgColor rgb="FFE8F5E9"/>
        </patternFill>
      </fill>
    </dxf>
    <dxf>
      <fill>
        <patternFill patternType="solid">
          <bgColor rgb="FFE8F5E9"/>
        </patternFill>
      </fill>
    </dxf>
    <dxf>
      <fill>
        <patternFill patternType="solid">
          <bgColor rgb="FFE8F5E9"/>
        </patternFill>
      </fill>
    </dxf>
    <dxf>
      <fill>
        <patternFill patternType="solid">
          <bgColor rgb="FFE8F5E9"/>
        </patternFill>
      </fill>
    </dxf>
    <dxf>
      <fill>
        <patternFill patternType="solid">
          <bgColor rgb="FFE8F5E9"/>
        </patternFill>
      </fill>
    </dxf>
    <dxf>
      <fill>
        <patternFill patternType="solid">
          <bgColor rgb="FFE8F5E9"/>
        </patternFill>
      </fill>
    </dxf>
    <dxf>
      <fill>
        <patternFill patternType="solid">
          <bgColor rgb="FFE8F5E9"/>
        </patternFill>
      </fill>
    </dxf>
    <dxf>
      <fill>
        <patternFill patternType="solid">
          <bgColor rgb="FFE8F5E9"/>
        </patternFill>
      </fill>
    </dxf>
    <dxf>
      <fill>
        <patternFill patternType="solid">
          <bgColor rgb="FFE8F5E9"/>
        </patternFill>
      </fill>
    </dxf>
    <dxf>
      <fill>
        <patternFill patternType="solid">
          <bgColor rgb="FFE8F5E9"/>
        </patternFill>
      </fill>
    </dxf>
    <dxf>
      <fill>
        <patternFill patternType="solid">
          <bgColor rgb="FFE8F5E9"/>
        </patternFill>
      </fill>
    </dxf>
    <dxf>
      <fill>
        <patternFill patternType="solid">
          <bgColor rgb="FFE8F5E9"/>
        </patternFill>
      </fill>
    </dxf>
    <dxf>
      <fill>
        <patternFill patternType="solid">
          <bgColor rgb="FFE8F5E9"/>
        </patternFill>
      </fill>
    </dxf>
    <dxf>
      <fill>
        <patternFill patternType="solid">
          <bgColor rgb="FFE8F5E9"/>
        </patternFill>
      </fill>
    </dxf>
    <dxf>
      <fill>
        <patternFill patternType="solid">
          <bgColor rgb="FFE8F5E9"/>
        </patternFill>
      </fill>
    </dxf>
    <dxf>
      <fill>
        <patternFill patternType="solid">
          <bgColor rgb="FFE8F5E9"/>
        </patternFill>
      </fill>
    </dxf>
    <dxf>
      <fill>
        <patternFill patternType="solid">
          <bgColor rgb="FFE8F5E9"/>
        </patternFill>
      </fill>
    </dxf>
    <dxf>
      <fill>
        <patternFill patternType="solid">
          <bgColor rgb="FFE8F5E9"/>
        </patternFill>
      </fill>
    </dxf>
    <dxf>
      <fill>
        <patternFill patternType="solid">
          <bgColor rgb="FFE8F5E9"/>
        </patternFill>
      </fill>
    </dxf>
    <dxf>
      <fill>
        <patternFill patternType="solid">
          <bgColor rgb="FFE8F5E9"/>
        </patternFill>
      </fill>
    </dxf>
    <dxf>
      <fill>
        <patternFill patternType="solid">
          <bgColor rgb="FFE8F5E9"/>
        </patternFill>
      </fill>
    </dxf>
    <dxf>
      <fill>
        <patternFill patternType="solid">
          <bgColor rgb="FFE8F5E9"/>
        </patternFill>
      </fill>
    </dxf>
    <dxf>
      <fill>
        <patternFill patternType="solid">
          <bgColor rgb="FFE8F5E9"/>
        </patternFill>
      </fill>
    </dxf>
    <dxf>
      <fill>
        <patternFill patternType="solid">
          <bgColor rgb="FFE8F5E9"/>
        </patternFill>
      </fill>
    </dxf>
    <dxf>
      <fill>
        <patternFill patternType="solid">
          <bgColor rgb="FFE8F5E9"/>
        </patternFill>
      </fill>
    </dxf>
    <dxf>
      <fill>
        <patternFill patternType="solid">
          <bgColor rgb="FFE8F5E9"/>
        </patternFill>
      </fill>
    </dxf>
    <dxf>
      <fill>
        <patternFill patternType="solid">
          <bgColor rgb="FFE8F5E9"/>
        </patternFill>
      </fill>
    </dxf>
    <dxf>
      <fill>
        <patternFill patternType="solid">
          <bgColor rgb="FFE8F5E9"/>
        </patternFill>
      </fill>
    </dxf>
    <dxf>
      <fill>
        <patternFill patternType="solid">
          <bgColor rgb="FFE8F5E9"/>
        </patternFill>
      </fill>
    </dxf>
    <dxf>
      <fill>
        <patternFill patternType="solid">
          <bgColor rgb="FFE8F5E9"/>
        </patternFill>
      </fill>
    </dxf>
    <dxf>
      <fill>
        <patternFill patternType="solid">
          <bgColor rgb="FFE8F5E9"/>
        </patternFill>
      </fill>
    </dxf>
    <dxf>
      <fill>
        <patternFill patternType="solid">
          <bgColor rgb="FFE8F5E9"/>
        </patternFill>
      </fill>
    </dxf>
    <dxf>
      <fill>
        <patternFill patternType="solid">
          <bgColor rgb="FFE8F5E9"/>
        </patternFill>
      </fill>
    </dxf>
    <dxf>
      <fill>
        <patternFill patternType="solid">
          <bgColor rgb="FFE8F5E9"/>
        </patternFill>
      </fill>
    </dxf>
    <dxf>
      <fill>
        <patternFill patternType="solid">
          <bgColor rgb="FFE8F5E9"/>
        </patternFill>
      </fill>
    </dxf>
    <dxf>
      <fill>
        <patternFill patternType="solid">
          <bgColor rgb="FFE8F5E9"/>
        </patternFill>
      </fill>
    </dxf>
    <dxf>
      <fill>
        <patternFill patternType="solid">
          <bgColor rgb="FFE8F5E9"/>
        </patternFill>
      </fill>
    </dxf>
    <dxf>
      <fill>
        <patternFill patternType="solid">
          <bgColor rgb="FFE8F5E9"/>
        </patternFill>
      </fill>
    </dxf>
    <dxf>
      <fill>
        <patternFill patternType="solid">
          <bgColor rgb="FFE8F5E9"/>
        </patternFill>
      </fill>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numFmt numFmtId="1" formatCode="0"/>
    </dxf>
    <dxf>
      <numFmt numFmtId="1" formatCode="0"/>
    </dxf>
    <dxf>
      <numFmt numFmtId="164" formatCode="[$-416]mmm\-yy;@"/>
    </dxf>
    <dxf>
      <alignment horizontal="right"/>
    </dxf>
    <dxf>
      <alignment horizontal="right"/>
    </dxf>
    <dxf>
      <alignment horizontal="right"/>
    </dxf>
    <dxf>
      <alignment horizontal="right"/>
    </dxf>
    <dxf>
      <font>
        <b/>
        <color theme="1"/>
      </font>
      <border>
        <bottom style="thin">
          <color theme="6"/>
        </bottom>
        <vertical/>
        <horizontal/>
      </border>
    </dxf>
    <dxf>
      <font>
        <color theme="1"/>
      </font>
      <fill>
        <patternFill patternType="solid">
          <fgColor rgb="FFE8F5E9"/>
          <bgColor theme="9" tint="0.79998168889431442"/>
        </patternFill>
      </fill>
      <border diagonalUp="0" diagonalDown="0">
        <left/>
        <right/>
        <top/>
        <bottom/>
        <vertical/>
        <horizontal/>
      </border>
    </dxf>
  </dxfs>
  <tableStyles count="1" defaultTableStyle="TableStyleMedium2" defaultPivotStyle="PivotStyleLight16">
    <tableStyle name="SlicerStyleLight3 2" pivot="0" table="0" count="10" xr9:uid="{3C87C633-B088-4B34-875E-B128A28EC979}">
      <tableStyleElement type="wholeTable" dxfId="495"/>
      <tableStyleElement type="headerRow" dxfId="494"/>
    </tableStyle>
  </tableStyles>
  <colors>
    <mruColors>
      <color rgb="FFDAF2D0"/>
      <color rgb="FF61FFB0"/>
      <color rgb="FF2E7D32"/>
      <color rgb="FFE8F5E9"/>
      <color rgb="FFD1FFED"/>
      <color rgb="FF2FA363"/>
      <color rgb="FF17A32A"/>
      <color rgb="FFBFF2C6"/>
    </mruColors>
  </colors>
  <extLst>
    <ext xmlns:x14="http://schemas.microsoft.com/office/spreadsheetml/2009/9/main" uri="{46F421CA-312F-682f-3DD2-61675219B42D}">
      <x14:dxfs count="8">
        <dxf>
          <font>
            <color rgb="FF000000"/>
          </font>
          <fill>
            <patternFill patternType="solid">
              <fgColor auto="1"/>
              <bgColor theme="9" tint="0.79998168889431442"/>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u val="none"/>
            <color rgb="FF000000"/>
          </font>
          <fill>
            <patternFill patternType="solid">
              <fgColor auto="1"/>
              <bgColor rgb="FFFFFF00"/>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6" tint="0.79998168889431442"/>
              <bgColor theme="6"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none">
              <fgColor indexed="64"/>
              <bgColor auto="1"/>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3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22/11/relationships/FeaturePropertyBag" Target="featurePropertyBag/featurePropertyBag.xml"/><Relationship Id="rId5" Type="http://schemas.microsoft.com/office/2007/relationships/slicerCache" Target="slicerCaches/slicerCache1.xml"/><Relationship Id="rId15" Type="http://schemas.openxmlformats.org/officeDocument/2006/relationships/customXml" Target="../customXml/item3.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 Id="rId14"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[Dashboard.xlsx]PivotTable!Tabela dinâmica8</c:name>
    <c:fmtId val="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
        <c:idx val="36"/>
        <c:dLbl>
          <c:idx val="0"/>
          <c:showLegendKey val="0"/>
          <c:showVal val="0"/>
          <c:showCatName val="0"/>
          <c:showSerName val="0"/>
          <c:showPercent val="0"/>
          <c:showBubbleSize val="0"/>
          <c:extLst>
            <c:ext xmlns:c15="http://schemas.microsoft.com/office/drawing/2012/chart" uri="{CE6537A1-D6FC-4f65-9D91-7224C49458BB}"/>
          </c:extLst>
        </c:dLbl>
      </c:pivotFmt>
      <c:pivotFmt>
        <c:idx val="37"/>
        <c:dLbl>
          <c:idx val="0"/>
          <c:showLegendKey val="0"/>
          <c:showVal val="0"/>
          <c:showCatName val="0"/>
          <c:showSerName val="0"/>
          <c:showPercent val="0"/>
          <c:showBubbleSize val="0"/>
          <c:extLst>
            <c:ext xmlns:c15="http://schemas.microsoft.com/office/drawing/2012/chart" uri="{CE6537A1-D6FC-4f65-9D91-7224C49458BB}"/>
          </c:extLst>
        </c:dLbl>
      </c:pivotFmt>
      <c:pivotFmt>
        <c:idx val="38"/>
        <c:dLbl>
          <c:idx val="0"/>
          <c:showLegendKey val="0"/>
          <c:showVal val="0"/>
          <c:showCatName val="0"/>
          <c:showSerName val="0"/>
          <c:showPercent val="0"/>
          <c:showBubbleSize val="0"/>
          <c:extLst>
            <c:ext xmlns:c15="http://schemas.microsoft.com/office/drawing/2012/chart" uri="{CE6537A1-D6FC-4f65-9D91-7224C49458BB}"/>
          </c:extLst>
        </c:dLbl>
      </c:pivotFmt>
      <c:pivotFmt>
        <c:idx val="39"/>
        <c:dLbl>
          <c:idx val="0"/>
          <c:showLegendKey val="0"/>
          <c:showVal val="0"/>
          <c:showCatName val="0"/>
          <c:showSerName val="0"/>
          <c:showPercent val="0"/>
          <c:showBubbleSize val="0"/>
          <c:extLst>
            <c:ext xmlns:c15="http://schemas.microsoft.com/office/drawing/2012/chart" uri="{CE6537A1-D6FC-4f65-9D91-7224C49458BB}"/>
          </c:extLst>
        </c:dLbl>
      </c:pivotFmt>
      <c:pivotFmt>
        <c:idx val="40"/>
        <c:dLbl>
          <c:idx val="0"/>
          <c:showLegendKey val="0"/>
          <c:showVal val="0"/>
          <c:showCatName val="0"/>
          <c:showSerName val="0"/>
          <c:showPercent val="0"/>
          <c:showBubbleSize val="0"/>
          <c:extLst>
            <c:ext xmlns:c15="http://schemas.microsoft.com/office/drawing/2012/chart" uri="{CE6537A1-D6FC-4f65-9D91-7224C49458BB}"/>
          </c:extLst>
        </c:dLbl>
      </c:pivotFmt>
      <c:pivotFmt>
        <c:idx val="41"/>
        <c:dLbl>
          <c:idx val="0"/>
          <c:showLegendKey val="0"/>
          <c:showVal val="0"/>
          <c:showCatName val="0"/>
          <c:showSerName val="0"/>
          <c:showPercent val="0"/>
          <c:showBubbleSize val="0"/>
          <c:extLst>
            <c:ext xmlns:c15="http://schemas.microsoft.com/office/drawing/2012/chart" uri="{CE6537A1-D6FC-4f65-9D91-7224C49458BB}"/>
          </c:extLst>
        </c:dLbl>
      </c:pivotFmt>
      <c:pivotFmt>
        <c:idx val="42"/>
        <c:dLbl>
          <c:idx val="0"/>
          <c:showLegendKey val="0"/>
          <c:showVal val="0"/>
          <c:showCatName val="0"/>
          <c:showSerName val="0"/>
          <c:showPercent val="0"/>
          <c:showBubbleSize val="0"/>
          <c:extLst>
            <c:ext xmlns:c15="http://schemas.microsoft.com/office/drawing/2012/chart" uri="{CE6537A1-D6FC-4f65-9D91-7224C49458BB}"/>
          </c:extLst>
        </c:dLbl>
      </c:pivotFmt>
      <c:pivotFmt>
        <c:idx val="43"/>
        <c:dLbl>
          <c:idx val="0"/>
          <c:showLegendKey val="0"/>
          <c:showVal val="0"/>
          <c:showCatName val="0"/>
          <c:showSerName val="0"/>
          <c:showPercent val="0"/>
          <c:showBubbleSize val="0"/>
          <c:extLst>
            <c:ext xmlns:c15="http://schemas.microsoft.com/office/drawing/2012/chart" uri="{CE6537A1-D6FC-4f65-9D91-7224C49458BB}"/>
          </c:extLst>
        </c:dLbl>
      </c:pivotFmt>
      <c:pivotFmt>
        <c:idx val="44"/>
        <c:dLbl>
          <c:idx val="0"/>
          <c:showLegendKey val="0"/>
          <c:showVal val="0"/>
          <c:showCatName val="0"/>
          <c:showSerName val="0"/>
          <c:showPercent val="0"/>
          <c:showBubbleSize val="0"/>
          <c:extLst>
            <c:ext xmlns:c15="http://schemas.microsoft.com/office/drawing/2012/chart" uri="{CE6537A1-D6FC-4f65-9D91-7224C49458BB}"/>
          </c:extLst>
        </c:dLbl>
      </c:pivotFmt>
      <c:pivotFmt>
        <c:idx val="45"/>
        <c:dLbl>
          <c:idx val="0"/>
          <c:showLegendKey val="0"/>
          <c:showVal val="0"/>
          <c:showCatName val="0"/>
          <c:showSerName val="0"/>
          <c:showPercent val="0"/>
          <c:showBubbleSize val="0"/>
          <c:extLst>
            <c:ext xmlns:c15="http://schemas.microsoft.com/office/drawing/2012/chart" uri="{CE6537A1-D6FC-4f65-9D91-7224C49458BB}"/>
          </c:extLst>
        </c:dLbl>
      </c:pivotFmt>
      <c:pivotFmt>
        <c:idx val="46"/>
        <c:dLbl>
          <c:idx val="0"/>
          <c:showLegendKey val="0"/>
          <c:showVal val="0"/>
          <c:showCatName val="0"/>
          <c:showSerName val="0"/>
          <c:showPercent val="0"/>
          <c:showBubbleSize val="0"/>
          <c:extLst>
            <c:ext xmlns:c15="http://schemas.microsoft.com/office/drawing/2012/chart" uri="{CE6537A1-D6FC-4f65-9D91-7224C49458BB}"/>
          </c:extLst>
        </c:dLbl>
      </c:pivotFmt>
      <c:pivotFmt>
        <c:idx val="47"/>
        <c:dLbl>
          <c:idx val="0"/>
          <c:showLegendKey val="0"/>
          <c:showVal val="0"/>
          <c:showCatName val="0"/>
          <c:showSerName val="0"/>
          <c:showPercent val="0"/>
          <c:showBubbleSize val="0"/>
          <c:extLst>
            <c:ext xmlns:c15="http://schemas.microsoft.com/office/drawing/2012/chart" uri="{CE6537A1-D6FC-4f65-9D91-7224C49458BB}"/>
          </c:extLst>
        </c:dLbl>
      </c:pivotFmt>
      <c:pivotFmt>
        <c:idx val="48"/>
        <c:dLbl>
          <c:idx val="0"/>
          <c:showLegendKey val="0"/>
          <c:showVal val="0"/>
          <c:showCatName val="0"/>
          <c:showSerName val="0"/>
          <c:showPercent val="0"/>
          <c:showBubbleSize val="0"/>
          <c:extLst>
            <c:ext xmlns:c15="http://schemas.microsoft.com/office/drawing/2012/chart" uri="{CE6537A1-D6FC-4f65-9D91-7224C49458BB}"/>
          </c:extLst>
        </c:dLbl>
      </c:pivotFmt>
      <c:pivotFmt>
        <c:idx val="49"/>
        <c:dLbl>
          <c:idx val="0"/>
          <c:showLegendKey val="0"/>
          <c:showVal val="0"/>
          <c:showCatName val="0"/>
          <c:showSerName val="0"/>
          <c:showPercent val="0"/>
          <c:showBubbleSize val="0"/>
          <c:extLst>
            <c:ext xmlns:c15="http://schemas.microsoft.com/office/drawing/2012/chart" uri="{CE6537A1-D6FC-4f65-9D91-7224C49458BB}"/>
          </c:extLst>
        </c:dLbl>
      </c:pivotFmt>
      <c:pivotFmt>
        <c:idx val="50"/>
        <c:dLbl>
          <c:idx val="0"/>
          <c:showLegendKey val="0"/>
          <c:showVal val="0"/>
          <c:showCatName val="0"/>
          <c:showSerName val="0"/>
          <c:showPercent val="0"/>
          <c:showBubbleSize val="0"/>
          <c:extLst>
            <c:ext xmlns:c15="http://schemas.microsoft.com/office/drawing/2012/chart" uri="{CE6537A1-D6FC-4f65-9D91-7224C49458BB}"/>
          </c:extLst>
        </c:dLbl>
      </c:pivotFmt>
      <c:pivotFmt>
        <c:idx val="51"/>
        <c:dLbl>
          <c:idx val="0"/>
          <c:showLegendKey val="0"/>
          <c:showVal val="0"/>
          <c:showCatName val="0"/>
          <c:showSerName val="0"/>
          <c:showPercent val="0"/>
          <c:showBubbleSize val="0"/>
          <c:extLst>
            <c:ext xmlns:c15="http://schemas.microsoft.com/office/drawing/2012/chart" uri="{CE6537A1-D6FC-4f65-9D91-7224C49458BB}"/>
          </c:extLst>
        </c:dLbl>
      </c:pivotFmt>
      <c:pivotFmt>
        <c:idx val="52"/>
        <c:dLbl>
          <c:idx val="0"/>
          <c:showLegendKey val="0"/>
          <c:showVal val="0"/>
          <c:showCatName val="0"/>
          <c:showSerName val="0"/>
          <c:showPercent val="0"/>
          <c:showBubbleSize val="0"/>
          <c:extLst>
            <c:ext xmlns:c15="http://schemas.microsoft.com/office/drawing/2012/chart" uri="{CE6537A1-D6FC-4f65-9D91-7224C49458BB}"/>
          </c:extLst>
        </c:dLbl>
      </c:pivotFmt>
      <c:pivotFmt>
        <c:idx val="53"/>
        <c:dLbl>
          <c:idx val="0"/>
          <c:showLegendKey val="0"/>
          <c:showVal val="0"/>
          <c:showCatName val="0"/>
          <c:showSerName val="0"/>
          <c:showPercent val="0"/>
          <c:showBubbleSize val="0"/>
          <c:extLst>
            <c:ext xmlns:c15="http://schemas.microsoft.com/office/drawing/2012/chart" uri="{CE6537A1-D6FC-4f65-9D91-7224C49458BB}"/>
          </c:extLst>
        </c:dLbl>
      </c:pivotFmt>
      <c:pivotFmt>
        <c:idx val="54"/>
        <c:dLbl>
          <c:idx val="0"/>
          <c:showLegendKey val="0"/>
          <c:showVal val="0"/>
          <c:showCatName val="0"/>
          <c:showSerName val="0"/>
          <c:showPercent val="0"/>
          <c:showBubbleSize val="0"/>
          <c:extLst>
            <c:ext xmlns:c15="http://schemas.microsoft.com/office/drawing/2012/chart" uri="{CE6537A1-D6FC-4f65-9D91-7224C49458BB}"/>
          </c:extLst>
        </c:dLbl>
      </c:pivotFmt>
      <c:pivotFmt>
        <c:idx val="55"/>
        <c:dLbl>
          <c:idx val="0"/>
          <c:showLegendKey val="0"/>
          <c:showVal val="0"/>
          <c:showCatName val="0"/>
          <c:showSerName val="0"/>
          <c:showPercent val="0"/>
          <c:showBubbleSize val="0"/>
          <c:extLst>
            <c:ext xmlns:c15="http://schemas.microsoft.com/office/drawing/2012/chart" uri="{CE6537A1-D6FC-4f65-9D91-7224C49458BB}"/>
          </c:extLst>
        </c:dLbl>
      </c:pivotFmt>
      <c:pivotFmt>
        <c:idx val="56"/>
        <c:dLbl>
          <c:idx val="0"/>
          <c:showLegendKey val="0"/>
          <c:showVal val="0"/>
          <c:showCatName val="0"/>
          <c:showSerName val="0"/>
          <c:showPercent val="0"/>
          <c:showBubbleSize val="0"/>
          <c:extLst>
            <c:ext xmlns:c15="http://schemas.microsoft.com/office/drawing/2012/chart" uri="{CE6537A1-D6FC-4f65-9D91-7224C49458BB}"/>
          </c:extLst>
        </c:dLbl>
      </c:pivotFmt>
      <c:pivotFmt>
        <c:idx val="57"/>
        <c:dLbl>
          <c:idx val="0"/>
          <c:showLegendKey val="0"/>
          <c:showVal val="0"/>
          <c:showCatName val="0"/>
          <c:showSerName val="0"/>
          <c:showPercent val="0"/>
          <c:showBubbleSize val="0"/>
          <c:extLst>
            <c:ext xmlns:c15="http://schemas.microsoft.com/office/drawing/2012/chart" uri="{CE6537A1-D6FC-4f65-9D91-7224C49458BB}"/>
          </c:extLst>
        </c:dLbl>
      </c:pivotFmt>
      <c:pivotFmt>
        <c:idx val="58"/>
        <c:dLbl>
          <c:idx val="0"/>
          <c:showLegendKey val="0"/>
          <c:showVal val="0"/>
          <c:showCatName val="0"/>
          <c:showSerName val="0"/>
          <c:showPercent val="0"/>
          <c:showBubbleSize val="0"/>
          <c:extLst>
            <c:ext xmlns:c15="http://schemas.microsoft.com/office/drawing/2012/chart" uri="{CE6537A1-D6FC-4f65-9D91-7224C49458BB}"/>
          </c:extLst>
        </c:dLbl>
      </c:pivotFmt>
      <c:pivotFmt>
        <c:idx val="59"/>
        <c:dLbl>
          <c:idx val="0"/>
          <c:showLegendKey val="0"/>
          <c:showVal val="0"/>
          <c:showCatName val="0"/>
          <c:showSerName val="0"/>
          <c:showPercent val="0"/>
          <c:showBubbleSize val="0"/>
          <c:extLst>
            <c:ext xmlns:c15="http://schemas.microsoft.com/office/drawing/2012/chart" uri="{CE6537A1-D6FC-4f65-9D91-7224C49458BB}"/>
          </c:extLst>
        </c:dLbl>
      </c:pivotFmt>
      <c:pivotFmt>
        <c:idx val="60"/>
        <c:dLbl>
          <c:idx val="0"/>
          <c:showLegendKey val="0"/>
          <c:showVal val="0"/>
          <c:showCatName val="0"/>
          <c:showSerName val="0"/>
          <c:showPercent val="0"/>
          <c:showBubbleSize val="0"/>
          <c:extLst>
            <c:ext xmlns:c15="http://schemas.microsoft.com/office/drawing/2012/chart" uri="{CE6537A1-D6FC-4f65-9D91-7224C49458BB}"/>
          </c:extLst>
        </c:dLbl>
      </c:pivotFmt>
      <c:pivotFmt>
        <c:idx val="61"/>
        <c:dLbl>
          <c:idx val="0"/>
          <c:showLegendKey val="0"/>
          <c:showVal val="0"/>
          <c:showCatName val="0"/>
          <c:showSerName val="0"/>
          <c:showPercent val="0"/>
          <c:showBubbleSize val="0"/>
          <c:extLst>
            <c:ext xmlns:c15="http://schemas.microsoft.com/office/drawing/2012/chart" uri="{CE6537A1-D6FC-4f65-9D91-7224C49458BB}"/>
          </c:extLst>
        </c:dLbl>
      </c:pivotFmt>
      <c:pivotFmt>
        <c:idx val="62"/>
        <c:dLbl>
          <c:idx val="0"/>
          <c:showLegendKey val="0"/>
          <c:showVal val="0"/>
          <c:showCatName val="0"/>
          <c:showSerName val="0"/>
          <c:showPercent val="0"/>
          <c:showBubbleSize val="0"/>
          <c:extLst>
            <c:ext xmlns:c15="http://schemas.microsoft.com/office/drawing/2012/chart" uri="{CE6537A1-D6FC-4f65-9D91-7224C49458BB}"/>
          </c:extLst>
        </c:dLbl>
      </c:pivotFmt>
      <c:pivotFmt>
        <c:idx val="63"/>
        <c:dLbl>
          <c:idx val="0"/>
          <c:showLegendKey val="0"/>
          <c:showVal val="0"/>
          <c:showCatName val="0"/>
          <c:showSerName val="0"/>
          <c:showPercent val="0"/>
          <c:showBubbleSize val="0"/>
          <c:extLst>
            <c:ext xmlns:c15="http://schemas.microsoft.com/office/drawing/2012/chart" uri="{CE6537A1-D6FC-4f65-9D91-7224C49458BB}"/>
          </c:extLst>
        </c:dLbl>
      </c:pivotFmt>
      <c:pivotFmt>
        <c:idx val="64"/>
        <c:dLbl>
          <c:idx val="0"/>
          <c:showLegendKey val="0"/>
          <c:showVal val="0"/>
          <c:showCatName val="0"/>
          <c:showSerName val="0"/>
          <c:showPercent val="0"/>
          <c:showBubbleSize val="0"/>
          <c:extLst>
            <c:ext xmlns:c15="http://schemas.microsoft.com/office/drawing/2012/chart" uri="{CE6537A1-D6FC-4f65-9D91-7224C49458BB}"/>
          </c:extLst>
        </c:dLbl>
      </c:pivotFmt>
      <c:pivotFmt>
        <c:idx val="65"/>
        <c:dLbl>
          <c:idx val="0"/>
          <c:showLegendKey val="0"/>
          <c:showVal val="0"/>
          <c:showCatName val="0"/>
          <c:showSerName val="0"/>
          <c:showPercent val="0"/>
          <c:showBubbleSize val="0"/>
          <c:extLst>
            <c:ext xmlns:c15="http://schemas.microsoft.com/office/drawing/2012/chart" uri="{CE6537A1-D6FC-4f65-9D91-7224C49458BB}"/>
          </c:extLst>
        </c:dLbl>
      </c:pivotFmt>
      <c:pivotFmt>
        <c:idx val="66"/>
        <c:dLbl>
          <c:idx val="0"/>
          <c:showLegendKey val="0"/>
          <c:showVal val="0"/>
          <c:showCatName val="0"/>
          <c:showSerName val="0"/>
          <c:showPercent val="0"/>
          <c:showBubbleSize val="0"/>
          <c:extLst>
            <c:ext xmlns:c15="http://schemas.microsoft.com/office/drawing/2012/chart" uri="{CE6537A1-D6FC-4f65-9D91-7224C49458BB}"/>
          </c:extLst>
        </c:dLbl>
      </c:pivotFmt>
      <c:pivotFmt>
        <c:idx val="67"/>
        <c:dLbl>
          <c:idx val="0"/>
          <c:showLegendKey val="0"/>
          <c:showVal val="0"/>
          <c:showCatName val="0"/>
          <c:showSerName val="0"/>
          <c:showPercent val="0"/>
          <c:showBubbleSize val="0"/>
          <c:extLst>
            <c:ext xmlns:c15="http://schemas.microsoft.com/office/drawing/2012/chart" uri="{CE6537A1-D6FC-4f65-9D91-7224C49458BB}"/>
          </c:extLst>
        </c:dLbl>
      </c:pivotFmt>
      <c:pivotFmt>
        <c:idx val="68"/>
        <c:dLbl>
          <c:idx val="0"/>
          <c:showLegendKey val="0"/>
          <c:showVal val="0"/>
          <c:showCatName val="0"/>
          <c:showSerName val="0"/>
          <c:showPercent val="0"/>
          <c:showBubbleSize val="0"/>
          <c:extLst>
            <c:ext xmlns:c15="http://schemas.microsoft.com/office/drawing/2012/chart" uri="{CE6537A1-D6FC-4f65-9D91-7224C49458BB}"/>
          </c:extLst>
        </c:dLbl>
      </c:pivotFmt>
      <c:pivotFmt>
        <c:idx val="69"/>
        <c:dLbl>
          <c:idx val="0"/>
          <c:showLegendKey val="0"/>
          <c:showVal val="0"/>
          <c:showCatName val="0"/>
          <c:showSerName val="0"/>
          <c:showPercent val="0"/>
          <c:showBubbleSize val="0"/>
          <c:extLst>
            <c:ext xmlns:c15="http://schemas.microsoft.com/office/drawing/2012/chart" uri="{CE6537A1-D6FC-4f65-9D91-7224C49458BB}"/>
          </c:extLst>
        </c:dLbl>
      </c:pivotFmt>
      <c:pivotFmt>
        <c:idx val="70"/>
        <c:dLbl>
          <c:idx val="0"/>
          <c:showLegendKey val="0"/>
          <c:showVal val="0"/>
          <c:showCatName val="0"/>
          <c:showSerName val="0"/>
          <c:showPercent val="0"/>
          <c:showBubbleSize val="0"/>
          <c:extLst>
            <c:ext xmlns:c15="http://schemas.microsoft.com/office/drawing/2012/chart" uri="{CE6537A1-D6FC-4f65-9D91-7224C49458BB}"/>
          </c:extLst>
        </c:dLbl>
      </c:pivotFmt>
      <c:pivotFmt>
        <c:idx val="71"/>
        <c:dLbl>
          <c:idx val="0"/>
          <c:showLegendKey val="0"/>
          <c:showVal val="0"/>
          <c:showCatName val="0"/>
          <c:showSerName val="0"/>
          <c:showPercent val="0"/>
          <c:showBubbleSize val="0"/>
          <c:extLst>
            <c:ext xmlns:c15="http://schemas.microsoft.com/office/drawing/2012/chart" uri="{CE6537A1-D6FC-4f65-9D91-7224C49458BB}"/>
          </c:extLst>
        </c:dLbl>
      </c:pivotFmt>
      <c:pivotFmt>
        <c:idx val="72"/>
        <c:dLbl>
          <c:idx val="0"/>
          <c:showLegendKey val="0"/>
          <c:showVal val="0"/>
          <c:showCatName val="0"/>
          <c:showSerName val="0"/>
          <c:showPercent val="0"/>
          <c:showBubbleSize val="0"/>
          <c:extLst>
            <c:ext xmlns:c15="http://schemas.microsoft.com/office/drawing/2012/chart" uri="{CE6537A1-D6FC-4f65-9D91-7224C49458BB}"/>
          </c:extLst>
        </c:dLbl>
      </c:pivotFmt>
      <c:pivotFmt>
        <c:idx val="73"/>
        <c:dLbl>
          <c:idx val="0"/>
          <c:showLegendKey val="0"/>
          <c:showVal val="0"/>
          <c:showCatName val="0"/>
          <c:showSerName val="0"/>
          <c:showPercent val="0"/>
          <c:showBubbleSize val="0"/>
          <c:extLst>
            <c:ext xmlns:c15="http://schemas.microsoft.com/office/drawing/2012/chart" uri="{CE6537A1-D6FC-4f65-9D91-7224C49458BB}"/>
          </c:extLst>
        </c:dLbl>
      </c:pivotFmt>
      <c:pivotFmt>
        <c:idx val="74"/>
        <c:dLbl>
          <c:idx val="0"/>
          <c:showLegendKey val="0"/>
          <c:showVal val="0"/>
          <c:showCatName val="0"/>
          <c:showSerName val="0"/>
          <c:showPercent val="0"/>
          <c:showBubbleSize val="0"/>
          <c:extLst>
            <c:ext xmlns:c15="http://schemas.microsoft.com/office/drawing/2012/chart" uri="{CE6537A1-D6FC-4f65-9D91-7224C49458BB}"/>
          </c:extLst>
        </c:dLbl>
      </c:pivotFmt>
      <c:pivotFmt>
        <c:idx val="75"/>
        <c:dLbl>
          <c:idx val="0"/>
          <c:showLegendKey val="0"/>
          <c:showVal val="0"/>
          <c:showCatName val="0"/>
          <c:showSerName val="0"/>
          <c:showPercent val="0"/>
          <c:showBubbleSize val="0"/>
          <c:extLst>
            <c:ext xmlns:c15="http://schemas.microsoft.com/office/drawing/2012/chart" uri="{CE6537A1-D6FC-4f65-9D91-7224C49458BB}"/>
          </c:extLst>
        </c:dLbl>
      </c:pivotFmt>
      <c:pivotFmt>
        <c:idx val="76"/>
        <c:dLbl>
          <c:idx val="0"/>
          <c:showLegendKey val="0"/>
          <c:showVal val="0"/>
          <c:showCatName val="0"/>
          <c:showSerName val="0"/>
          <c:showPercent val="0"/>
          <c:showBubbleSize val="0"/>
          <c:extLst>
            <c:ext xmlns:c15="http://schemas.microsoft.com/office/drawing/2012/chart" uri="{CE6537A1-D6FC-4f65-9D91-7224C49458BB}"/>
          </c:extLst>
        </c:dLbl>
      </c:pivotFmt>
      <c:pivotFmt>
        <c:idx val="77"/>
        <c:dLbl>
          <c:idx val="0"/>
          <c:showLegendKey val="0"/>
          <c:showVal val="0"/>
          <c:showCatName val="0"/>
          <c:showSerName val="0"/>
          <c:showPercent val="0"/>
          <c:showBubbleSize val="0"/>
          <c:extLst>
            <c:ext xmlns:c15="http://schemas.microsoft.com/office/drawing/2012/chart" uri="{CE6537A1-D6FC-4f65-9D91-7224C49458BB}"/>
          </c:extLst>
        </c:dLbl>
      </c:pivotFmt>
      <c:pivotFmt>
        <c:idx val="78"/>
        <c:dLbl>
          <c:idx val="0"/>
          <c:showLegendKey val="0"/>
          <c:showVal val="0"/>
          <c:showCatName val="0"/>
          <c:showSerName val="0"/>
          <c:showPercent val="0"/>
          <c:showBubbleSize val="0"/>
          <c:extLst>
            <c:ext xmlns:c15="http://schemas.microsoft.com/office/drawing/2012/chart" uri="{CE6537A1-D6FC-4f65-9D91-7224C49458BB}"/>
          </c:extLst>
        </c:dLbl>
      </c:pivotFmt>
      <c:pivotFmt>
        <c:idx val="79"/>
        <c:dLbl>
          <c:idx val="0"/>
          <c:showLegendKey val="0"/>
          <c:showVal val="0"/>
          <c:showCatName val="0"/>
          <c:showSerName val="0"/>
          <c:showPercent val="0"/>
          <c:showBubbleSize val="0"/>
          <c:extLst>
            <c:ext xmlns:c15="http://schemas.microsoft.com/office/drawing/2012/chart" uri="{CE6537A1-D6FC-4f65-9D91-7224C49458BB}"/>
          </c:extLst>
        </c:dLbl>
      </c:pivotFmt>
      <c:pivotFmt>
        <c:idx val="80"/>
        <c:dLbl>
          <c:idx val="0"/>
          <c:showLegendKey val="0"/>
          <c:showVal val="0"/>
          <c:showCatName val="0"/>
          <c:showSerName val="0"/>
          <c:showPercent val="0"/>
          <c:showBubbleSize val="0"/>
          <c:extLst>
            <c:ext xmlns:c15="http://schemas.microsoft.com/office/drawing/2012/chart" uri="{CE6537A1-D6FC-4f65-9D91-7224C49458BB}"/>
          </c:extLst>
        </c:dLbl>
      </c:pivotFmt>
      <c:pivotFmt>
        <c:idx val="81"/>
        <c:dLbl>
          <c:idx val="0"/>
          <c:showLegendKey val="0"/>
          <c:showVal val="0"/>
          <c:showCatName val="0"/>
          <c:showSerName val="0"/>
          <c:showPercent val="0"/>
          <c:showBubbleSize val="0"/>
          <c:extLst>
            <c:ext xmlns:c15="http://schemas.microsoft.com/office/drawing/2012/chart" uri="{CE6537A1-D6FC-4f65-9D91-7224C49458BB}"/>
          </c:extLst>
        </c:dLbl>
      </c:pivotFmt>
      <c:pivotFmt>
        <c:idx val="82"/>
        <c:dLbl>
          <c:idx val="0"/>
          <c:showLegendKey val="0"/>
          <c:showVal val="0"/>
          <c:showCatName val="0"/>
          <c:showSerName val="0"/>
          <c:showPercent val="0"/>
          <c:showBubbleSize val="0"/>
          <c:extLst>
            <c:ext xmlns:c15="http://schemas.microsoft.com/office/drawing/2012/chart" uri="{CE6537A1-D6FC-4f65-9D91-7224C49458BB}"/>
          </c:extLst>
        </c:dLbl>
      </c:pivotFmt>
      <c:pivotFmt>
        <c:idx val="83"/>
        <c:dLbl>
          <c:idx val="0"/>
          <c:showLegendKey val="0"/>
          <c:showVal val="0"/>
          <c:showCatName val="0"/>
          <c:showSerName val="0"/>
          <c:showPercent val="0"/>
          <c:showBubbleSize val="0"/>
          <c:extLst>
            <c:ext xmlns:c15="http://schemas.microsoft.com/office/drawing/2012/chart" uri="{CE6537A1-D6FC-4f65-9D91-7224C49458BB}"/>
          </c:extLst>
        </c:dLbl>
      </c:pivotFmt>
      <c:pivotFmt>
        <c:idx val="84"/>
        <c:dLbl>
          <c:idx val="0"/>
          <c:showLegendKey val="0"/>
          <c:showVal val="0"/>
          <c:showCatName val="0"/>
          <c:showSerName val="0"/>
          <c:showPercent val="0"/>
          <c:showBubbleSize val="0"/>
          <c:extLst>
            <c:ext xmlns:c15="http://schemas.microsoft.com/office/drawing/2012/chart" uri="{CE6537A1-D6FC-4f65-9D91-7224C49458BB}"/>
          </c:extLst>
        </c:dLbl>
      </c:pivotFmt>
      <c:pivotFmt>
        <c:idx val="85"/>
        <c:dLbl>
          <c:idx val="0"/>
          <c:showLegendKey val="0"/>
          <c:showVal val="0"/>
          <c:showCatName val="0"/>
          <c:showSerName val="0"/>
          <c:showPercent val="0"/>
          <c:showBubbleSize val="0"/>
          <c:extLst>
            <c:ext xmlns:c15="http://schemas.microsoft.com/office/drawing/2012/chart" uri="{CE6537A1-D6FC-4f65-9D91-7224C49458BB}"/>
          </c:extLst>
        </c:dLbl>
      </c:pivotFmt>
      <c:pivotFmt>
        <c:idx val="86"/>
        <c:dLbl>
          <c:idx val="0"/>
          <c:showLegendKey val="0"/>
          <c:showVal val="0"/>
          <c:showCatName val="0"/>
          <c:showSerName val="0"/>
          <c:showPercent val="0"/>
          <c:showBubbleSize val="0"/>
          <c:extLst>
            <c:ext xmlns:c15="http://schemas.microsoft.com/office/drawing/2012/chart" uri="{CE6537A1-D6FC-4f65-9D91-7224C49458BB}"/>
          </c:extLst>
        </c:dLbl>
      </c:pivotFmt>
      <c:pivotFmt>
        <c:idx val="87"/>
        <c:dLbl>
          <c:idx val="0"/>
          <c:showLegendKey val="0"/>
          <c:showVal val="0"/>
          <c:showCatName val="0"/>
          <c:showSerName val="0"/>
          <c:showPercent val="0"/>
          <c:showBubbleSize val="0"/>
          <c:extLst>
            <c:ext xmlns:c15="http://schemas.microsoft.com/office/drawing/2012/chart" uri="{CE6537A1-D6FC-4f65-9D91-7224C49458BB}"/>
          </c:extLst>
        </c:dLbl>
      </c:pivotFmt>
      <c:pivotFmt>
        <c:idx val="88"/>
        <c:dLbl>
          <c:idx val="0"/>
          <c:showLegendKey val="0"/>
          <c:showVal val="0"/>
          <c:showCatName val="0"/>
          <c:showSerName val="0"/>
          <c:showPercent val="0"/>
          <c:showBubbleSize val="0"/>
          <c:extLst>
            <c:ext xmlns:c15="http://schemas.microsoft.com/office/drawing/2012/chart" uri="{CE6537A1-D6FC-4f65-9D91-7224C49458BB}"/>
          </c:extLst>
        </c:dLbl>
      </c:pivotFmt>
      <c:pivotFmt>
        <c:idx val="89"/>
        <c:dLbl>
          <c:idx val="0"/>
          <c:showLegendKey val="0"/>
          <c:showVal val="0"/>
          <c:showCatName val="0"/>
          <c:showSerName val="0"/>
          <c:showPercent val="0"/>
          <c:showBubbleSize val="0"/>
          <c:extLst>
            <c:ext xmlns:c15="http://schemas.microsoft.com/office/drawing/2012/chart" uri="{CE6537A1-D6FC-4f65-9D91-7224C49458BB}"/>
          </c:extLst>
        </c:dLbl>
      </c:pivotFmt>
      <c:pivotFmt>
        <c:idx val="90"/>
        <c:dLbl>
          <c:idx val="0"/>
          <c:showLegendKey val="0"/>
          <c:showVal val="0"/>
          <c:showCatName val="0"/>
          <c:showSerName val="0"/>
          <c:showPercent val="0"/>
          <c:showBubbleSize val="0"/>
          <c:extLst>
            <c:ext xmlns:c15="http://schemas.microsoft.com/office/drawing/2012/chart" uri="{CE6537A1-D6FC-4f65-9D91-7224C49458BB}"/>
          </c:extLst>
        </c:dLbl>
      </c:pivotFmt>
      <c:pivotFmt>
        <c:idx val="91"/>
        <c:dLbl>
          <c:idx val="0"/>
          <c:showLegendKey val="0"/>
          <c:showVal val="0"/>
          <c:showCatName val="0"/>
          <c:showSerName val="0"/>
          <c:showPercent val="0"/>
          <c:showBubbleSize val="0"/>
          <c:extLst>
            <c:ext xmlns:c15="http://schemas.microsoft.com/office/drawing/2012/chart" uri="{CE6537A1-D6FC-4f65-9D91-7224C49458BB}"/>
          </c:extLst>
        </c:dLbl>
      </c:pivotFmt>
      <c:pivotFmt>
        <c:idx val="92"/>
        <c:dLbl>
          <c:idx val="0"/>
          <c:showLegendKey val="0"/>
          <c:showVal val="0"/>
          <c:showCatName val="0"/>
          <c:showSerName val="0"/>
          <c:showPercent val="0"/>
          <c:showBubbleSize val="0"/>
          <c:extLst>
            <c:ext xmlns:c15="http://schemas.microsoft.com/office/drawing/2012/chart" uri="{CE6537A1-D6FC-4f65-9D91-7224C49458BB}"/>
          </c:extLst>
        </c:dLbl>
      </c:pivotFmt>
      <c:pivotFmt>
        <c:idx val="93"/>
        <c:dLbl>
          <c:idx val="0"/>
          <c:showLegendKey val="0"/>
          <c:showVal val="0"/>
          <c:showCatName val="0"/>
          <c:showSerName val="0"/>
          <c:showPercent val="0"/>
          <c:showBubbleSize val="0"/>
          <c:extLst>
            <c:ext xmlns:c15="http://schemas.microsoft.com/office/drawing/2012/chart" uri="{CE6537A1-D6FC-4f65-9D91-7224C49458BB}"/>
          </c:extLst>
        </c:dLbl>
      </c:pivotFmt>
      <c:pivotFmt>
        <c:idx val="94"/>
        <c:dLbl>
          <c:idx val="0"/>
          <c:showLegendKey val="0"/>
          <c:showVal val="0"/>
          <c:showCatName val="0"/>
          <c:showSerName val="0"/>
          <c:showPercent val="0"/>
          <c:showBubbleSize val="0"/>
          <c:extLst>
            <c:ext xmlns:c15="http://schemas.microsoft.com/office/drawing/2012/chart" uri="{CE6537A1-D6FC-4f65-9D91-7224C49458BB}"/>
          </c:extLst>
        </c:dLbl>
      </c:pivotFmt>
      <c:pivotFmt>
        <c:idx val="95"/>
        <c:dLbl>
          <c:idx val="0"/>
          <c:showLegendKey val="0"/>
          <c:showVal val="0"/>
          <c:showCatName val="0"/>
          <c:showSerName val="0"/>
          <c:showPercent val="0"/>
          <c:showBubbleSize val="0"/>
          <c:extLst>
            <c:ext xmlns:c15="http://schemas.microsoft.com/office/drawing/2012/chart" uri="{CE6537A1-D6FC-4f65-9D91-7224C49458BB}"/>
          </c:extLst>
        </c:dLbl>
      </c:pivotFmt>
      <c:pivotFmt>
        <c:idx val="96"/>
        <c:dLbl>
          <c:idx val="0"/>
          <c:showLegendKey val="0"/>
          <c:showVal val="0"/>
          <c:showCatName val="0"/>
          <c:showSerName val="0"/>
          <c:showPercent val="0"/>
          <c:showBubbleSize val="0"/>
          <c:extLst>
            <c:ext xmlns:c15="http://schemas.microsoft.com/office/drawing/2012/chart" uri="{CE6537A1-D6FC-4f65-9D91-7224C49458BB}"/>
          </c:extLst>
        </c:dLbl>
      </c:pivotFmt>
      <c:pivotFmt>
        <c:idx val="97"/>
        <c:dLbl>
          <c:idx val="0"/>
          <c:showLegendKey val="0"/>
          <c:showVal val="0"/>
          <c:showCatName val="0"/>
          <c:showSerName val="0"/>
          <c:showPercent val="0"/>
          <c:showBubbleSize val="0"/>
          <c:extLst>
            <c:ext xmlns:c15="http://schemas.microsoft.com/office/drawing/2012/chart" uri="{CE6537A1-D6FC-4f65-9D91-7224C49458BB}"/>
          </c:extLst>
        </c:dLbl>
      </c:pivotFmt>
      <c:pivotFmt>
        <c:idx val="98"/>
        <c:dLbl>
          <c:idx val="0"/>
          <c:showLegendKey val="0"/>
          <c:showVal val="0"/>
          <c:showCatName val="0"/>
          <c:showSerName val="0"/>
          <c:showPercent val="0"/>
          <c:showBubbleSize val="0"/>
          <c:extLst>
            <c:ext xmlns:c15="http://schemas.microsoft.com/office/drawing/2012/chart" uri="{CE6537A1-D6FC-4f65-9D91-7224C49458BB}"/>
          </c:extLst>
        </c:dLbl>
      </c:pivotFmt>
      <c:pivotFmt>
        <c:idx val="99"/>
        <c:dLbl>
          <c:idx val="0"/>
          <c:showLegendKey val="0"/>
          <c:showVal val="0"/>
          <c:showCatName val="0"/>
          <c:showSerName val="0"/>
          <c:showPercent val="0"/>
          <c:showBubbleSize val="0"/>
          <c:extLst>
            <c:ext xmlns:c15="http://schemas.microsoft.com/office/drawing/2012/chart" uri="{CE6537A1-D6FC-4f65-9D91-7224C49458BB}"/>
          </c:extLst>
        </c:dLbl>
      </c:pivotFmt>
      <c:pivotFmt>
        <c:idx val="100"/>
        <c:dLbl>
          <c:idx val="0"/>
          <c:showLegendKey val="0"/>
          <c:showVal val="0"/>
          <c:showCatName val="0"/>
          <c:showSerName val="0"/>
          <c:showPercent val="0"/>
          <c:showBubbleSize val="0"/>
          <c:extLst>
            <c:ext xmlns:c15="http://schemas.microsoft.com/office/drawing/2012/chart" uri="{CE6537A1-D6FC-4f65-9D91-7224C49458BB}"/>
          </c:extLst>
        </c:dLbl>
      </c:pivotFmt>
      <c:pivotFmt>
        <c:idx val="101"/>
        <c:dLbl>
          <c:idx val="0"/>
          <c:showLegendKey val="0"/>
          <c:showVal val="0"/>
          <c:showCatName val="0"/>
          <c:showSerName val="0"/>
          <c:showPercent val="0"/>
          <c:showBubbleSize val="0"/>
          <c:extLst>
            <c:ext xmlns:c15="http://schemas.microsoft.com/office/drawing/2012/chart" uri="{CE6537A1-D6FC-4f65-9D91-7224C49458BB}"/>
          </c:extLst>
        </c:dLbl>
      </c:pivotFmt>
      <c:pivotFmt>
        <c:idx val="102"/>
        <c:dLbl>
          <c:idx val="0"/>
          <c:showLegendKey val="0"/>
          <c:showVal val="0"/>
          <c:showCatName val="0"/>
          <c:showSerName val="0"/>
          <c:showPercent val="0"/>
          <c:showBubbleSize val="0"/>
          <c:extLst>
            <c:ext xmlns:c15="http://schemas.microsoft.com/office/drawing/2012/chart" uri="{CE6537A1-D6FC-4f65-9D91-7224C49458BB}"/>
          </c:extLst>
        </c:dLbl>
      </c:pivotFmt>
      <c:pivotFmt>
        <c:idx val="103"/>
        <c:dLbl>
          <c:idx val="0"/>
          <c:showLegendKey val="0"/>
          <c:showVal val="0"/>
          <c:showCatName val="0"/>
          <c:showSerName val="0"/>
          <c:showPercent val="0"/>
          <c:showBubbleSize val="0"/>
          <c:extLst>
            <c:ext xmlns:c15="http://schemas.microsoft.com/office/drawing/2012/chart" uri="{CE6537A1-D6FC-4f65-9D91-7224C49458BB}"/>
          </c:extLst>
        </c:dLbl>
      </c:pivotFmt>
      <c:pivotFmt>
        <c:idx val="104"/>
        <c:dLbl>
          <c:idx val="0"/>
          <c:showLegendKey val="0"/>
          <c:showVal val="0"/>
          <c:showCatName val="0"/>
          <c:showSerName val="0"/>
          <c:showPercent val="0"/>
          <c:showBubbleSize val="0"/>
          <c:extLst>
            <c:ext xmlns:c15="http://schemas.microsoft.com/office/drawing/2012/chart" uri="{CE6537A1-D6FC-4f65-9D91-7224C49458BB}"/>
          </c:extLst>
        </c:dLbl>
      </c:pivotFmt>
      <c:pivotFmt>
        <c:idx val="105"/>
        <c:dLbl>
          <c:idx val="0"/>
          <c:showLegendKey val="0"/>
          <c:showVal val="0"/>
          <c:showCatName val="0"/>
          <c:showSerName val="0"/>
          <c:showPercent val="0"/>
          <c:showBubbleSize val="0"/>
          <c:extLst>
            <c:ext xmlns:c15="http://schemas.microsoft.com/office/drawing/2012/chart" uri="{CE6537A1-D6FC-4f65-9D91-7224C49458BB}"/>
          </c:extLst>
        </c:dLbl>
      </c:pivotFmt>
      <c:pivotFmt>
        <c:idx val="106"/>
        <c:dLbl>
          <c:idx val="0"/>
          <c:showLegendKey val="0"/>
          <c:showVal val="0"/>
          <c:showCatName val="0"/>
          <c:showSerName val="0"/>
          <c:showPercent val="0"/>
          <c:showBubbleSize val="0"/>
          <c:extLst>
            <c:ext xmlns:c15="http://schemas.microsoft.com/office/drawing/2012/chart" uri="{CE6537A1-D6FC-4f65-9D91-7224C49458BB}"/>
          </c:extLst>
        </c:dLbl>
      </c:pivotFmt>
      <c:pivotFmt>
        <c:idx val="107"/>
        <c:dLbl>
          <c:idx val="0"/>
          <c:showLegendKey val="0"/>
          <c:showVal val="0"/>
          <c:showCatName val="0"/>
          <c:showSerName val="0"/>
          <c:showPercent val="0"/>
          <c:showBubbleSize val="0"/>
          <c:extLst>
            <c:ext xmlns:c15="http://schemas.microsoft.com/office/drawing/2012/chart" uri="{CE6537A1-D6FC-4f65-9D91-7224C49458BB}"/>
          </c:extLst>
        </c:dLbl>
      </c:pivotFmt>
      <c:pivotFmt>
        <c:idx val="108"/>
        <c:dLbl>
          <c:idx val="0"/>
          <c:showLegendKey val="0"/>
          <c:showVal val="0"/>
          <c:showCatName val="0"/>
          <c:showSerName val="0"/>
          <c:showPercent val="0"/>
          <c:showBubbleSize val="0"/>
          <c:extLst>
            <c:ext xmlns:c15="http://schemas.microsoft.com/office/drawing/2012/chart" uri="{CE6537A1-D6FC-4f65-9D91-7224C49458BB}"/>
          </c:extLst>
        </c:dLbl>
      </c:pivotFmt>
      <c:pivotFmt>
        <c:idx val="109"/>
        <c:dLbl>
          <c:idx val="0"/>
          <c:showLegendKey val="0"/>
          <c:showVal val="0"/>
          <c:showCatName val="0"/>
          <c:showSerName val="0"/>
          <c:showPercent val="0"/>
          <c:showBubbleSize val="0"/>
          <c:extLst>
            <c:ext xmlns:c15="http://schemas.microsoft.com/office/drawing/2012/chart" uri="{CE6537A1-D6FC-4f65-9D91-7224C49458BB}"/>
          </c:extLst>
        </c:dLbl>
      </c:pivotFmt>
      <c:pivotFmt>
        <c:idx val="110"/>
        <c:dLbl>
          <c:idx val="0"/>
          <c:showLegendKey val="0"/>
          <c:showVal val="0"/>
          <c:showCatName val="0"/>
          <c:showSerName val="0"/>
          <c:showPercent val="0"/>
          <c:showBubbleSize val="0"/>
          <c:extLst>
            <c:ext xmlns:c15="http://schemas.microsoft.com/office/drawing/2012/chart" uri="{CE6537A1-D6FC-4f65-9D91-7224C49458BB}"/>
          </c:extLst>
        </c:dLbl>
      </c:pivotFmt>
      <c:pivotFmt>
        <c:idx val="111"/>
        <c:dLbl>
          <c:idx val="0"/>
          <c:showLegendKey val="0"/>
          <c:showVal val="0"/>
          <c:showCatName val="0"/>
          <c:showSerName val="0"/>
          <c:showPercent val="0"/>
          <c:showBubbleSize val="0"/>
          <c:extLst>
            <c:ext xmlns:c15="http://schemas.microsoft.com/office/drawing/2012/chart" uri="{CE6537A1-D6FC-4f65-9D91-7224C49458BB}"/>
          </c:extLst>
        </c:dLbl>
      </c:pivotFmt>
      <c:pivotFmt>
        <c:idx val="112"/>
        <c:dLbl>
          <c:idx val="0"/>
          <c:showLegendKey val="0"/>
          <c:showVal val="0"/>
          <c:showCatName val="0"/>
          <c:showSerName val="0"/>
          <c:showPercent val="0"/>
          <c:showBubbleSize val="0"/>
          <c:extLst>
            <c:ext xmlns:c15="http://schemas.microsoft.com/office/drawing/2012/chart" uri="{CE6537A1-D6FC-4f65-9D91-7224C49458BB}"/>
          </c:extLst>
        </c:dLbl>
      </c:pivotFmt>
      <c:pivotFmt>
        <c:idx val="113"/>
        <c:dLbl>
          <c:idx val="0"/>
          <c:showLegendKey val="0"/>
          <c:showVal val="0"/>
          <c:showCatName val="0"/>
          <c:showSerName val="0"/>
          <c:showPercent val="0"/>
          <c:showBubbleSize val="0"/>
          <c:extLst>
            <c:ext xmlns:c15="http://schemas.microsoft.com/office/drawing/2012/chart" uri="{CE6537A1-D6FC-4f65-9D91-7224C49458BB}"/>
          </c:extLst>
        </c:dLbl>
      </c:pivotFmt>
      <c:pivotFmt>
        <c:idx val="114"/>
        <c:dLbl>
          <c:idx val="0"/>
          <c:showLegendKey val="0"/>
          <c:showVal val="0"/>
          <c:showCatName val="0"/>
          <c:showSerName val="0"/>
          <c:showPercent val="0"/>
          <c:showBubbleSize val="0"/>
          <c:extLst>
            <c:ext xmlns:c15="http://schemas.microsoft.com/office/drawing/2012/chart" uri="{CE6537A1-D6FC-4f65-9D91-7224C49458BB}"/>
          </c:extLst>
        </c:dLbl>
      </c:pivotFmt>
      <c:pivotFmt>
        <c:idx val="115"/>
        <c:dLbl>
          <c:idx val="0"/>
          <c:showLegendKey val="0"/>
          <c:showVal val="0"/>
          <c:showCatName val="0"/>
          <c:showSerName val="0"/>
          <c:showPercent val="0"/>
          <c:showBubbleSize val="0"/>
          <c:extLst>
            <c:ext xmlns:c15="http://schemas.microsoft.com/office/drawing/2012/chart" uri="{CE6537A1-D6FC-4f65-9D91-7224C49458BB}"/>
          </c:extLst>
        </c:dLbl>
      </c:pivotFmt>
      <c:pivotFmt>
        <c:idx val="116"/>
        <c:dLbl>
          <c:idx val="0"/>
          <c:showLegendKey val="0"/>
          <c:showVal val="0"/>
          <c:showCatName val="0"/>
          <c:showSerName val="0"/>
          <c:showPercent val="0"/>
          <c:showBubbleSize val="0"/>
          <c:extLst>
            <c:ext xmlns:c15="http://schemas.microsoft.com/office/drawing/2012/chart" uri="{CE6537A1-D6FC-4f65-9D91-7224C49458BB}"/>
          </c:extLst>
        </c:dLbl>
      </c:pivotFmt>
      <c:pivotFmt>
        <c:idx val="117"/>
        <c:dLbl>
          <c:idx val="0"/>
          <c:showLegendKey val="0"/>
          <c:showVal val="0"/>
          <c:showCatName val="0"/>
          <c:showSerName val="0"/>
          <c:showPercent val="0"/>
          <c:showBubbleSize val="0"/>
          <c:extLst>
            <c:ext xmlns:c15="http://schemas.microsoft.com/office/drawing/2012/chart" uri="{CE6537A1-D6FC-4f65-9D91-7224C49458BB}"/>
          </c:extLst>
        </c:dLbl>
      </c:pivotFmt>
      <c:pivotFmt>
        <c:idx val="118"/>
        <c:dLbl>
          <c:idx val="0"/>
          <c:showLegendKey val="0"/>
          <c:showVal val="0"/>
          <c:showCatName val="0"/>
          <c:showSerName val="0"/>
          <c:showPercent val="0"/>
          <c:showBubbleSize val="0"/>
          <c:extLst>
            <c:ext xmlns:c15="http://schemas.microsoft.com/office/drawing/2012/chart" uri="{CE6537A1-D6FC-4f65-9D91-7224C49458BB}"/>
          </c:extLst>
        </c:dLbl>
      </c:pivotFmt>
      <c:pivotFmt>
        <c:idx val="119"/>
        <c:dLbl>
          <c:idx val="0"/>
          <c:showLegendKey val="0"/>
          <c:showVal val="0"/>
          <c:showCatName val="0"/>
          <c:showSerName val="0"/>
          <c:showPercent val="0"/>
          <c:showBubbleSize val="0"/>
          <c:extLst>
            <c:ext xmlns:c15="http://schemas.microsoft.com/office/drawing/2012/chart" uri="{CE6537A1-D6FC-4f65-9D91-7224C49458BB}"/>
          </c:extLst>
        </c:dLbl>
      </c:pivotFmt>
      <c:pivotFmt>
        <c:idx val="120"/>
        <c:dLbl>
          <c:idx val="0"/>
          <c:showLegendKey val="0"/>
          <c:showVal val="0"/>
          <c:showCatName val="0"/>
          <c:showSerName val="0"/>
          <c:showPercent val="0"/>
          <c:showBubbleSize val="0"/>
          <c:extLst>
            <c:ext xmlns:c15="http://schemas.microsoft.com/office/drawing/2012/chart" uri="{CE6537A1-D6FC-4f65-9D91-7224C49458BB}"/>
          </c:extLst>
        </c:dLbl>
      </c:pivotFmt>
      <c:pivotFmt>
        <c:idx val="121"/>
        <c:dLbl>
          <c:idx val="0"/>
          <c:showLegendKey val="0"/>
          <c:showVal val="0"/>
          <c:showCatName val="0"/>
          <c:showSerName val="0"/>
          <c:showPercent val="0"/>
          <c:showBubbleSize val="0"/>
          <c:extLst>
            <c:ext xmlns:c15="http://schemas.microsoft.com/office/drawing/2012/chart" uri="{CE6537A1-D6FC-4f65-9D91-7224C49458BB}"/>
          </c:extLst>
        </c:dLbl>
      </c:pivotFmt>
      <c:pivotFmt>
        <c:idx val="122"/>
        <c:dLbl>
          <c:idx val="0"/>
          <c:showLegendKey val="0"/>
          <c:showVal val="0"/>
          <c:showCatName val="0"/>
          <c:showSerName val="0"/>
          <c:showPercent val="0"/>
          <c:showBubbleSize val="0"/>
          <c:extLst>
            <c:ext xmlns:c15="http://schemas.microsoft.com/office/drawing/2012/chart" uri="{CE6537A1-D6FC-4f65-9D91-7224C49458BB}"/>
          </c:extLst>
        </c:dLbl>
      </c:pivotFmt>
      <c:pivotFmt>
        <c:idx val="123"/>
        <c:dLbl>
          <c:idx val="0"/>
          <c:showLegendKey val="0"/>
          <c:showVal val="0"/>
          <c:showCatName val="0"/>
          <c:showSerName val="0"/>
          <c:showPercent val="0"/>
          <c:showBubbleSize val="0"/>
          <c:extLst>
            <c:ext xmlns:c15="http://schemas.microsoft.com/office/drawing/2012/chart" uri="{CE6537A1-D6FC-4f65-9D91-7224C49458BB}"/>
          </c:extLst>
        </c:dLbl>
      </c:pivotFmt>
      <c:pivotFmt>
        <c:idx val="124"/>
        <c:dLbl>
          <c:idx val="0"/>
          <c:showLegendKey val="0"/>
          <c:showVal val="0"/>
          <c:showCatName val="0"/>
          <c:showSerName val="0"/>
          <c:showPercent val="0"/>
          <c:showBubbleSize val="0"/>
          <c:extLst>
            <c:ext xmlns:c15="http://schemas.microsoft.com/office/drawing/2012/chart" uri="{CE6537A1-D6FC-4f65-9D91-7224C49458BB}"/>
          </c:extLst>
        </c:dLbl>
      </c:pivotFmt>
      <c:pivotFmt>
        <c:idx val="125"/>
        <c:dLbl>
          <c:idx val="0"/>
          <c:showLegendKey val="0"/>
          <c:showVal val="0"/>
          <c:showCatName val="0"/>
          <c:showSerName val="0"/>
          <c:showPercent val="0"/>
          <c:showBubbleSize val="0"/>
          <c:extLst>
            <c:ext xmlns:c15="http://schemas.microsoft.com/office/drawing/2012/chart" uri="{CE6537A1-D6FC-4f65-9D91-7224C49458BB}"/>
          </c:extLst>
        </c:dLbl>
      </c:pivotFmt>
      <c:pivotFmt>
        <c:idx val="126"/>
        <c:dLbl>
          <c:idx val="0"/>
          <c:showLegendKey val="0"/>
          <c:showVal val="0"/>
          <c:showCatName val="0"/>
          <c:showSerName val="0"/>
          <c:showPercent val="0"/>
          <c:showBubbleSize val="0"/>
          <c:extLst>
            <c:ext xmlns:c15="http://schemas.microsoft.com/office/drawing/2012/chart" uri="{CE6537A1-D6FC-4f65-9D91-7224C49458BB}"/>
          </c:extLst>
        </c:dLbl>
      </c:pivotFmt>
      <c:pivotFmt>
        <c:idx val="127"/>
        <c:dLbl>
          <c:idx val="0"/>
          <c:showLegendKey val="0"/>
          <c:showVal val="0"/>
          <c:showCatName val="0"/>
          <c:showSerName val="0"/>
          <c:showPercent val="0"/>
          <c:showBubbleSize val="0"/>
          <c:extLst>
            <c:ext xmlns:c15="http://schemas.microsoft.com/office/drawing/2012/chart" uri="{CE6537A1-D6FC-4f65-9D91-7224C49458BB}"/>
          </c:extLst>
        </c:dLbl>
      </c:pivotFmt>
      <c:pivotFmt>
        <c:idx val="128"/>
        <c:dLbl>
          <c:idx val="0"/>
          <c:showLegendKey val="0"/>
          <c:showVal val="0"/>
          <c:showCatName val="0"/>
          <c:showSerName val="0"/>
          <c:showPercent val="0"/>
          <c:showBubbleSize val="0"/>
          <c:extLst>
            <c:ext xmlns:c15="http://schemas.microsoft.com/office/drawing/2012/chart" uri="{CE6537A1-D6FC-4f65-9D91-7224C49458BB}"/>
          </c:extLst>
        </c:dLbl>
      </c:pivotFmt>
      <c:pivotFmt>
        <c:idx val="129"/>
        <c:dLbl>
          <c:idx val="0"/>
          <c:showLegendKey val="0"/>
          <c:showVal val="0"/>
          <c:showCatName val="0"/>
          <c:showSerName val="0"/>
          <c:showPercent val="0"/>
          <c:showBubbleSize val="0"/>
          <c:extLst>
            <c:ext xmlns:c15="http://schemas.microsoft.com/office/drawing/2012/chart" uri="{CE6537A1-D6FC-4f65-9D91-7224C49458BB}"/>
          </c:extLst>
        </c:dLbl>
      </c:pivotFmt>
      <c:pivotFmt>
        <c:idx val="130"/>
        <c:dLbl>
          <c:idx val="0"/>
          <c:showLegendKey val="0"/>
          <c:showVal val="0"/>
          <c:showCatName val="0"/>
          <c:showSerName val="0"/>
          <c:showPercent val="0"/>
          <c:showBubbleSize val="0"/>
          <c:extLst>
            <c:ext xmlns:c15="http://schemas.microsoft.com/office/drawing/2012/chart" uri="{CE6537A1-D6FC-4f65-9D91-7224C49458BB}"/>
          </c:extLst>
        </c:dLbl>
      </c:pivotFmt>
      <c:pivotFmt>
        <c:idx val="131"/>
        <c:dLbl>
          <c:idx val="0"/>
          <c:showLegendKey val="0"/>
          <c:showVal val="0"/>
          <c:showCatName val="0"/>
          <c:showSerName val="0"/>
          <c:showPercent val="0"/>
          <c:showBubbleSize val="0"/>
          <c:extLst>
            <c:ext xmlns:c15="http://schemas.microsoft.com/office/drawing/2012/chart" uri="{CE6537A1-D6FC-4f65-9D91-7224C49458BB}"/>
          </c:extLst>
        </c:dLbl>
      </c:pivotFmt>
      <c:pivotFmt>
        <c:idx val="132"/>
        <c:dLbl>
          <c:idx val="0"/>
          <c:showLegendKey val="0"/>
          <c:showVal val="0"/>
          <c:showCatName val="0"/>
          <c:showSerName val="0"/>
          <c:showPercent val="0"/>
          <c:showBubbleSize val="0"/>
          <c:extLst>
            <c:ext xmlns:c15="http://schemas.microsoft.com/office/drawing/2012/chart" uri="{CE6537A1-D6FC-4f65-9D91-7224C49458BB}"/>
          </c:extLst>
        </c:dLbl>
      </c:pivotFmt>
      <c:pivotFmt>
        <c:idx val="133"/>
        <c:dLbl>
          <c:idx val="0"/>
          <c:showLegendKey val="0"/>
          <c:showVal val="0"/>
          <c:showCatName val="0"/>
          <c:showSerName val="0"/>
          <c:showPercent val="0"/>
          <c:showBubbleSize val="0"/>
          <c:extLst>
            <c:ext xmlns:c15="http://schemas.microsoft.com/office/drawing/2012/chart" uri="{CE6537A1-D6FC-4f65-9D91-7224C49458BB}"/>
          </c:extLst>
        </c:dLbl>
      </c:pivotFmt>
      <c:pivotFmt>
        <c:idx val="134"/>
        <c:dLbl>
          <c:idx val="0"/>
          <c:showLegendKey val="0"/>
          <c:showVal val="0"/>
          <c:showCatName val="0"/>
          <c:showSerName val="0"/>
          <c:showPercent val="0"/>
          <c:showBubbleSize val="0"/>
          <c:extLst>
            <c:ext xmlns:c15="http://schemas.microsoft.com/office/drawing/2012/chart" uri="{CE6537A1-D6FC-4f65-9D91-7224C49458BB}"/>
          </c:extLst>
        </c:dLbl>
      </c:pivotFmt>
      <c:pivotFmt>
        <c:idx val="135"/>
        <c:dLbl>
          <c:idx val="0"/>
          <c:showLegendKey val="0"/>
          <c:showVal val="0"/>
          <c:showCatName val="0"/>
          <c:showSerName val="0"/>
          <c:showPercent val="0"/>
          <c:showBubbleSize val="0"/>
          <c:extLst>
            <c:ext xmlns:c15="http://schemas.microsoft.com/office/drawing/2012/chart" uri="{CE6537A1-D6FC-4f65-9D91-7224C49458BB}"/>
          </c:extLst>
        </c:dLbl>
      </c:pivotFmt>
      <c:pivotFmt>
        <c:idx val="136"/>
        <c:dLbl>
          <c:idx val="0"/>
          <c:showLegendKey val="0"/>
          <c:showVal val="0"/>
          <c:showCatName val="0"/>
          <c:showSerName val="0"/>
          <c:showPercent val="0"/>
          <c:showBubbleSize val="0"/>
          <c:extLst>
            <c:ext xmlns:c15="http://schemas.microsoft.com/office/drawing/2012/chart" uri="{CE6537A1-D6FC-4f65-9D91-7224C49458BB}"/>
          </c:extLst>
        </c:dLbl>
      </c:pivotFmt>
      <c:pivotFmt>
        <c:idx val="137"/>
        <c:dLbl>
          <c:idx val="0"/>
          <c:showLegendKey val="0"/>
          <c:showVal val="0"/>
          <c:showCatName val="0"/>
          <c:showSerName val="0"/>
          <c:showPercent val="0"/>
          <c:showBubbleSize val="0"/>
          <c:extLst>
            <c:ext xmlns:c15="http://schemas.microsoft.com/office/drawing/2012/chart" uri="{CE6537A1-D6FC-4f65-9D91-7224C49458BB}"/>
          </c:extLst>
        </c:dLbl>
      </c:pivotFmt>
      <c:pivotFmt>
        <c:idx val="138"/>
        <c:dLbl>
          <c:idx val="0"/>
          <c:showLegendKey val="0"/>
          <c:showVal val="0"/>
          <c:showCatName val="0"/>
          <c:showSerName val="0"/>
          <c:showPercent val="0"/>
          <c:showBubbleSize val="0"/>
          <c:extLst>
            <c:ext xmlns:c15="http://schemas.microsoft.com/office/drawing/2012/chart" uri="{CE6537A1-D6FC-4f65-9D91-7224C49458BB}"/>
          </c:extLst>
        </c:dLbl>
      </c:pivotFmt>
      <c:pivotFmt>
        <c:idx val="139"/>
        <c:dLbl>
          <c:idx val="0"/>
          <c:showLegendKey val="0"/>
          <c:showVal val="0"/>
          <c:showCatName val="0"/>
          <c:showSerName val="0"/>
          <c:showPercent val="0"/>
          <c:showBubbleSize val="0"/>
          <c:extLst>
            <c:ext xmlns:c15="http://schemas.microsoft.com/office/drawing/2012/chart" uri="{CE6537A1-D6FC-4f65-9D91-7224C49458BB}"/>
          </c:extLst>
        </c:dLbl>
      </c:pivotFmt>
      <c:pivotFmt>
        <c:idx val="140"/>
        <c:dLbl>
          <c:idx val="0"/>
          <c:showLegendKey val="0"/>
          <c:showVal val="0"/>
          <c:showCatName val="0"/>
          <c:showSerName val="0"/>
          <c:showPercent val="0"/>
          <c:showBubbleSize val="0"/>
          <c:extLst>
            <c:ext xmlns:c15="http://schemas.microsoft.com/office/drawing/2012/chart" uri="{CE6537A1-D6FC-4f65-9D91-7224C49458BB}"/>
          </c:extLst>
        </c:dLbl>
      </c:pivotFmt>
      <c:pivotFmt>
        <c:idx val="141"/>
        <c:dLbl>
          <c:idx val="0"/>
          <c:showLegendKey val="0"/>
          <c:showVal val="0"/>
          <c:showCatName val="0"/>
          <c:showSerName val="0"/>
          <c:showPercent val="0"/>
          <c:showBubbleSize val="0"/>
          <c:extLst>
            <c:ext xmlns:c15="http://schemas.microsoft.com/office/drawing/2012/chart" uri="{CE6537A1-D6FC-4f65-9D91-7224C49458BB}"/>
          </c:extLst>
        </c:dLbl>
      </c:pivotFmt>
      <c:pivotFmt>
        <c:idx val="142"/>
        <c:dLbl>
          <c:idx val="0"/>
          <c:showLegendKey val="0"/>
          <c:showVal val="0"/>
          <c:showCatName val="0"/>
          <c:showSerName val="0"/>
          <c:showPercent val="0"/>
          <c:showBubbleSize val="0"/>
          <c:extLst>
            <c:ext xmlns:c15="http://schemas.microsoft.com/office/drawing/2012/chart" uri="{CE6537A1-D6FC-4f65-9D91-7224C49458BB}"/>
          </c:extLst>
        </c:dLbl>
      </c:pivotFmt>
      <c:pivotFmt>
        <c:idx val="143"/>
        <c:dLbl>
          <c:idx val="0"/>
          <c:showLegendKey val="0"/>
          <c:showVal val="0"/>
          <c:showCatName val="0"/>
          <c:showSerName val="0"/>
          <c:showPercent val="0"/>
          <c:showBubbleSize val="0"/>
          <c:extLst>
            <c:ext xmlns:c15="http://schemas.microsoft.com/office/drawing/2012/chart" uri="{CE6537A1-D6FC-4f65-9D91-7224C49458BB}"/>
          </c:extLst>
        </c:dLbl>
      </c:pivotFmt>
      <c:pivotFmt>
        <c:idx val="144"/>
        <c:dLbl>
          <c:idx val="0"/>
          <c:showLegendKey val="0"/>
          <c:showVal val="0"/>
          <c:showCatName val="0"/>
          <c:showSerName val="0"/>
          <c:showPercent val="0"/>
          <c:showBubbleSize val="0"/>
          <c:extLst>
            <c:ext xmlns:c15="http://schemas.microsoft.com/office/drawing/2012/chart" uri="{CE6537A1-D6FC-4f65-9D91-7224C49458BB}"/>
          </c:extLst>
        </c:dLbl>
      </c:pivotFmt>
      <c:pivotFmt>
        <c:idx val="145"/>
        <c:dLbl>
          <c:idx val="0"/>
          <c:showLegendKey val="0"/>
          <c:showVal val="0"/>
          <c:showCatName val="0"/>
          <c:showSerName val="0"/>
          <c:showPercent val="0"/>
          <c:showBubbleSize val="0"/>
          <c:extLst>
            <c:ext xmlns:c15="http://schemas.microsoft.com/office/drawing/2012/chart" uri="{CE6537A1-D6FC-4f65-9D91-7224C49458BB}"/>
          </c:extLst>
        </c:dLbl>
      </c:pivotFmt>
      <c:pivotFmt>
        <c:idx val="146"/>
        <c:dLbl>
          <c:idx val="0"/>
          <c:showLegendKey val="0"/>
          <c:showVal val="0"/>
          <c:showCatName val="0"/>
          <c:showSerName val="0"/>
          <c:showPercent val="0"/>
          <c:showBubbleSize val="0"/>
          <c:extLst>
            <c:ext xmlns:c15="http://schemas.microsoft.com/office/drawing/2012/chart" uri="{CE6537A1-D6FC-4f65-9D91-7224C49458BB}"/>
          </c:extLst>
        </c:dLbl>
      </c:pivotFmt>
      <c:pivotFmt>
        <c:idx val="147"/>
        <c:dLbl>
          <c:idx val="0"/>
          <c:showLegendKey val="0"/>
          <c:showVal val="0"/>
          <c:showCatName val="0"/>
          <c:showSerName val="0"/>
          <c:showPercent val="0"/>
          <c:showBubbleSize val="0"/>
          <c:extLst>
            <c:ext xmlns:c15="http://schemas.microsoft.com/office/drawing/2012/chart" uri="{CE6537A1-D6FC-4f65-9D91-7224C49458BB}"/>
          </c:extLst>
        </c:dLbl>
      </c:pivotFmt>
      <c:pivotFmt>
        <c:idx val="148"/>
        <c:dLbl>
          <c:idx val="0"/>
          <c:showLegendKey val="0"/>
          <c:showVal val="0"/>
          <c:showCatName val="0"/>
          <c:showSerName val="0"/>
          <c:showPercent val="0"/>
          <c:showBubbleSize val="0"/>
          <c:extLst>
            <c:ext xmlns:c15="http://schemas.microsoft.com/office/drawing/2012/chart" uri="{CE6537A1-D6FC-4f65-9D91-7224C49458BB}"/>
          </c:extLst>
        </c:dLbl>
      </c:pivotFmt>
      <c:pivotFmt>
        <c:idx val="149"/>
        <c:dLbl>
          <c:idx val="0"/>
          <c:showLegendKey val="0"/>
          <c:showVal val="0"/>
          <c:showCatName val="0"/>
          <c:showSerName val="0"/>
          <c:showPercent val="0"/>
          <c:showBubbleSize val="0"/>
          <c:extLst>
            <c:ext xmlns:c15="http://schemas.microsoft.com/office/drawing/2012/chart" uri="{CE6537A1-D6FC-4f65-9D91-7224C49458BB}"/>
          </c:extLst>
        </c:dLbl>
      </c:pivotFmt>
      <c:pivotFmt>
        <c:idx val="150"/>
        <c:dLbl>
          <c:idx val="0"/>
          <c:showLegendKey val="0"/>
          <c:showVal val="0"/>
          <c:showCatName val="0"/>
          <c:showSerName val="0"/>
          <c:showPercent val="0"/>
          <c:showBubbleSize val="0"/>
          <c:extLst>
            <c:ext xmlns:c15="http://schemas.microsoft.com/office/drawing/2012/chart" uri="{CE6537A1-D6FC-4f65-9D91-7224C49458BB}"/>
          </c:extLst>
        </c:dLbl>
      </c:pivotFmt>
      <c:pivotFmt>
        <c:idx val="151"/>
        <c:dLbl>
          <c:idx val="0"/>
          <c:showLegendKey val="0"/>
          <c:showVal val="0"/>
          <c:showCatName val="0"/>
          <c:showSerName val="0"/>
          <c:showPercent val="0"/>
          <c:showBubbleSize val="0"/>
          <c:extLst>
            <c:ext xmlns:c15="http://schemas.microsoft.com/office/drawing/2012/chart" uri="{CE6537A1-D6FC-4f65-9D91-7224C49458BB}"/>
          </c:extLst>
        </c:dLbl>
      </c:pivotFmt>
      <c:pivotFmt>
        <c:idx val="152"/>
        <c:dLbl>
          <c:idx val="0"/>
          <c:showLegendKey val="0"/>
          <c:showVal val="0"/>
          <c:showCatName val="0"/>
          <c:showSerName val="0"/>
          <c:showPercent val="0"/>
          <c:showBubbleSize val="0"/>
          <c:extLst>
            <c:ext xmlns:c15="http://schemas.microsoft.com/office/drawing/2012/chart" uri="{CE6537A1-D6FC-4f65-9D91-7224C49458BB}"/>
          </c:extLst>
        </c:dLbl>
      </c:pivotFmt>
      <c:pivotFmt>
        <c:idx val="153"/>
        <c:dLbl>
          <c:idx val="0"/>
          <c:showLegendKey val="0"/>
          <c:showVal val="0"/>
          <c:showCatName val="0"/>
          <c:showSerName val="0"/>
          <c:showPercent val="0"/>
          <c:showBubbleSize val="0"/>
          <c:extLst>
            <c:ext xmlns:c15="http://schemas.microsoft.com/office/drawing/2012/chart" uri="{CE6537A1-D6FC-4f65-9D91-7224C49458BB}"/>
          </c:extLst>
        </c:dLbl>
      </c:pivotFmt>
      <c:pivotFmt>
        <c:idx val="154"/>
        <c:dLbl>
          <c:idx val="0"/>
          <c:showLegendKey val="0"/>
          <c:showVal val="0"/>
          <c:showCatName val="0"/>
          <c:showSerName val="0"/>
          <c:showPercent val="0"/>
          <c:showBubbleSize val="0"/>
          <c:extLst>
            <c:ext xmlns:c15="http://schemas.microsoft.com/office/drawing/2012/chart" uri="{CE6537A1-D6FC-4f65-9D91-7224C49458BB}"/>
          </c:extLst>
        </c:dLbl>
      </c:pivotFmt>
      <c:pivotFmt>
        <c:idx val="155"/>
        <c:dLbl>
          <c:idx val="0"/>
          <c:showLegendKey val="0"/>
          <c:showVal val="0"/>
          <c:showCatName val="0"/>
          <c:showSerName val="0"/>
          <c:showPercent val="0"/>
          <c:showBubbleSize val="0"/>
          <c:extLst>
            <c:ext xmlns:c15="http://schemas.microsoft.com/office/drawing/2012/chart" uri="{CE6537A1-D6FC-4f65-9D91-7224C49458BB}"/>
          </c:extLst>
        </c:dLbl>
      </c:pivotFmt>
      <c:pivotFmt>
        <c:idx val="156"/>
        <c:dLbl>
          <c:idx val="0"/>
          <c:showLegendKey val="0"/>
          <c:showVal val="0"/>
          <c:showCatName val="0"/>
          <c:showSerName val="0"/>
          <c:showPercent val="0"/>
          <c:showBubbleSize val="0"/>
          <c:extLst>
            <c:ext xmlns:c15="http://schemas.microsoft.com/office/drawing/2012/chart" uri="{CE6537A1-D6FC-4f65-9D91-7224C49458BB}"/>
          </c:extLst>
        </c:dLbl>
      </c:pivotFmt>
      <c:pivotFmt>
        <c:idx val="157"/>
        <c:dLbl>
          <c:idx val="0"/>
          <c:showLegendKey val="0"/>
          <c:showVal val="0"/>
          <c:showCatName val="0"/>
          <c:showSerName val="0"/>
          <c:showPercent val="0"/>
          <c:showBubbleSize val="0"/>
          <c:extLst>
            <c:ext xmlns:c15="http://schemas.microsoft.com/office/drawing/2012/chart" uri="{CE6537A1-D6FC-4f65-9D91-7224C49458BB}"/>
          </c:extLst>
        </c:dLbl>
      </c:pivotFmt>
      <c:pivotFmt>
        <c:idx val="158"/>
        <c:dLbl>
          <c:idx val="0"/>
          <c:showLegendKey val="0"/>
          <c:showVal val="0"/>
          <c:showCatName val="0"/>
          <c:showSerName val="0"/>
          <c:showPercent val="0"/>
          <c:showBubbleSize val="0"/>
          <c:extLst>
            <c:ext xmlns:c15="http://schemas.microsoft.com/office/drawing/2012/chart" uri="{CE6537A1-D6FC-4f65-9D91-7224C49458BB}"/>
          </c:extLst>
        </c:dLbl>
      </c:pivotFmt>
      <c:pivotFmt>
        <c:idx val="159"/>
        <c:dLbl>
          <c:idx val="0"/>
          <c:showLegendKey val="0"/>
          <c:showVal val="0"/>
          <c:showCatName val="0"/>
          <c:showSerName val="0"/>
          <c:showPercent val="0"/>
          <c:showBubbleSize val="0"/>
          <c:extLst>
            <c:ext xmlns:c15="http://schemas.microsoft.com/office/drawing/2012/chart" uri="{CE6537A1-D6FC-4f65-9D91-7224C49458BB}"/>
          </c:extLst>
        </c:dLbl>
      </c:pivotFmt>
      <c:pivotFmt>
        <c:idx val="160"/>
        <c:dLbl>
          <c:idx val="0"/>
          <c:showLegendKey val="0"/>
          <c:showVal val="0"/>
          <c:showCatName val="0"/>
          <c:showSerName val="0"/>
          <c:showPercent val="0"/>
          <c:showBubbleSize val="0"/>
          <c:extLst>
            <c:ext xmlns:c15="http://schemas.microsoft.com/office/drawing/2012/chart" uri="{CE6537A1-D6FC-4f65-9D91-7224C49458BB}"/>
          </c:extLst>
        </c:dLbl>
      </c:pivotFmt>
      <c:pivotFmt>
        <c:idx val="161"/>
        <c:dLbl>
          <c:idx val="0"/>
          <c:showLegendKey val="0"/>
          <c:showVal val="0"/>
          <c:showCatName val="0"/>
          <c:showSerName val="0"/>
          <c:showPercent val="0"/>
          <c:showBubbleSize val="0"/>
          <c:extLst>
            <c:ext xmlns:c15="http://schemas.microsoft.com/office/drawing/2012/chart" uri="{CE6537A1-D6FC-4f65-9D91-7224C49458BB}"/>
          </c:extLst>
        </c:dLbl>
      </c:pivotFmt>
      <c:pivotFmt>
        <c:idx val="162"/>
        <c:dLbl>
          <c:idx val="0"/>
          <c:showLegendKey val="0"/>
          <c:showVal val="0"/>
          <c:showCatName val="0"/>
          <c:showSerName val="0"/>
          <c:showPercent val="0"/>
          <c:showBubbleSize val="0"/>
          <c:extLst>
            <c:ext xmlns:c15="http://schemas.microsoft.com/office/drawing/2012/chart" uri="{CE6537A1-D6FC-4f65-9D91-7224C49458BB}"/>
          </c:extLst>
        </c:dLbl>
      </c:pivotFmt>
      <c:pivotFmt>
        <c:idx val="163"/>
        <c:dLbl>
          <c:idx val="0"/>
          <c:showLegendKey val="0"/>
          <c:showVal val="0"/>
          <c:showCatName val="0"/>
          <c:showSerName val="0"/>
          <c:showPercent val="0"/>
          <c:showBubbleSize val="0"/>
          <c:extLst>
            <c:ext xmlns:c15="http://schemas.microsoft.com/office/drawing/2012/chart" uri="{CE6537A1-D6FC-4f65-9D91-7224C49458BB}"/>
          </c:extLst>
        </c:dLbl>
      </c:pivotFmt>
      <c:pivotFmt>
        <c:idx val="164"/>
        <c:dLbl>
          <c:idx val="0"/>
          <c:showLegendKey val="0"/>
          <c:showVal val="0"/>
          <c:showCatName val="0"/>
          <c:showSerName val="0"/>
          <c:showPercent val="0"/>
          <c:showBubbleSize val="0"/>
          <c:extLst>
            <c:ext xmlns:c15="http://schemas.microsoft.com/office/drawing/2012/chart" uri="{CE6537A1-D6FC-4f65-9D91-7224C49458BB}"/>
          </c:extLst>
        </c:dLbl>
      </c:pivotFmt>
      <c:pivotFmt>
        <c:idx val="165"/>
        <c:dLbl>
          <c:idx val="0"/>
          <c:showLegendKey val="0"/>
          <c:showVal val="0"/>
          <c:showCatName val="0"/>
          <c:showSerName val="0"/>
          <c:showPercent val="0"/>
          <c:showBubbleSize val="0"/>
          <c:extLst>
            <c:ext xmlns:c15="http://schemas.microsoft.com/office/drawing/2012/chart" uri="{CE6537A1-D6FC-4f65-9D91-7224C49458BB}"/>
          </c:extLst>
        </c:dLbl>
      </c:pivotFmt>
      <c:pivotFmt>
        <c:idx val="166"/>
        <c:dLbl>
          <c:idx val="0"/>
          <c:showLegendKey val="0"/>
          <c:showVal val="0"/>
          <c:showCatName val="0"/>
          <c:showSerName val="0"/>
          <c:showPercent val="0"/>
          <c:showBubbleSize val="0"/>
          <c:extLst>
            <c:ext xmlns:c15="http://schemas.microsoft.com/office/drawing/2012/chart" uri="{CE6537A1-D6FC-4f65-9D91-7224C49458BB}"/>
          </c:extLst>
        </c:dLbl>
      </c:pivotFmt>
      <c:pivotFmt>
        <c:idx val="167"/>
        <c:dLbl>
          <c:idx val="0"/>
          <c:showLegendKey val="0"/>
          <c:showVal val="0"/>
          <c:showCatName val="0"/>
          <c:showSerName val="0"/>
          <c:showPercent val="0"/>
          <c:showBubbleSize val="0"/>
          <c:extLst>
            <c:ext xmlns:c15="http://schemas.microsoft.com/office/drawing/2012/chart" uri="{CE6537A1-D6FC-4f65-9D91-7224C49458BB}"/>
          </c:extLst>
        </c:dLbl>
      </c:pivotFmt>
      <c:pivotFmt>
        <c:idx val="168"/>
        <c:dLbl>
          <c:idx val="0"/>
          <c:showLegendKey val="0"/>
          <c:showVal val="0"/>
          <c:showCatName val="0"/>
          <c:showSerName val="0"/>
          <c:showPercent val="0"/>
          <c:showBubbleSize val="0"/>
          <c:extLst>
            <c:ext xmlns:c15="http://schemas.microsoft.com/office/drawing/2012/chart" uri="{CE6537A1-D6FC-4f65-9D91-7224C49458BB}"/>
          </c:extLst>
        </c:dLbl>
      </c:pivotFmt>
      <c:pivotFmt>
        <c:idx val="169"/>
        <c:dLbl>
          <c:idx val="0"/>
          <c:showLegendKey val="0"/>
          <c:showVal val="0"/>
          <c:showCatName val="0"/>
          <c:showSerName val="0"/>
          <c:showPercent val="0"/>
          <c:showBubbleSize val="0"/>
          <c:extLst>
            <c:ext xmlns:c15="http://schemas.microsoft.com/office/drawing/2012/chart" uri="{CE6537A1-D6FC-4f65-9D91-7224C49458BB}"/>
          </c:extLst>
        </c:dLbl>
      </c:pivotFmt>
      <c:pivotFmt>
        <c:idx val="170"/>
        <c:dLbl>
          <c:idx val="0"/>
          <c:showLegendKey val="0"/>
          <c:showVal val="0"/>
          <c:showCatName val="0"/>
          <c:showSerName val="0"/>
          <c:showPercent val="0"/>
          <c:showBubbleSize val="0"/>
          <c:extLst>
            <c:ext xmlns:c15="http://schemas.microsoft.com/office/drawing/2012/chart" uri="{CE6537A1-D6FC-4f65-9D91-7224C49458BB}"/>
          </c:extLst>
        </c:dLbl>
      </c:pivotFmt>
      <c:pivotFmt>
        <c:idx val="171"/>
        <c:dLbl>
          <c:idx val="0"/>
          <c:showLegendKey val="0"/>
          <c:showVal val="0"/>
          <c:showCatName val="0"/>
          <c:showSerName val="0"/>
          <c:showPercent val="0"/>
          <c:showBubbleSize val="0"/>
          <c:extLst>
            <c:ext xmlns:c15="http://schemas.microsoft.com/office/drawing/2012/chart" uri="{CE6537A1-D6FC-4f65-9D91-7224C49458BB}"/>
          </c:extLst>
        </c:dLbl>
      </c:pivotFmt>
      <c:pivotFmt>
        <c:idx val="172"/>
        <c:dLbl>
          <c:idx val="0"/>
          <c:showLegendKey val="0"/>
          <c:showVal val="0"/>
          <c:showCatName val="0"/>
          <c:showSerName val="0"/>
          <c:showPercent val="0"/>
          <c:showBubbleSize val="0"/>
          <c:extLst>
            <c:ext xmlns:c15="http://schemas.microsoft.com/office/drawing/2012/chart" uri="{CE6537A1-D6FC-4f65-9D91-7224C49458BB}"/>
          </c:extLst>
        </c:dLbl>
      </c:pivotFmt>
      <c:pivotFmt>
        <c:idx val="173"/>
        <c:dLbl>
          <c:idx val="0"/>
          <c:showLegendKey val="0"/>
          <c:showVal val="0"/>
          <c:showCatName val="0"/>
          <c:showSerName val="0"/>
          <c:showPercent val="0"/>
          <c:showBubbleSize val="0"/>
          <c:extLst>
            <c:ext xmlns:c15="http://schemas.microsoft.com/office/drawing/2012/chart" uri="{CE6537A1-D6FC-4f65-9D91-7224C49458BB}"/>
          </c:extLst>
        </c:dLbl>
      </c:pivotFmt>
      <c:pivotFmt>
        <c:idx val="174"/>
        <c:dLbl>
          <c:idx val="0"/>
          <c:showLegendKey val="0"/>
          <c:showVal val="0"/>
          <c:showCatName val="0"/>
          <c:showSerName val="0"/>
          <c:showPercent val="0"/>
          <c:showBubbleSize val="0"/>
          <c:extLst>
            <c:ext xmlns:c15="http://schemas.microsoft.com/office/drawing/2012/chart" uri="{CE6537A1-D6FC-4f65-9D91-7224C49458BB}"/>
          </c:extLst>
        </c:dLbl>
      </c:pivotFmt>
      <c:pivotFmt>
        <c:idx val="175"/>
        <c:dLbl>
          <c:idx val="0"/>
          <c:showLegendKey val="0"/>
          <c:showVal val="0"/>
          <c:showCatName val="0"/>
          <c:showSerName val="0"/>
          <c:showPercent val="0"/>
          <c:showBubbleSize val="0"/>
          <c:extLst>
            <c:ext xmlns:c15="http://schemas.microsoft.com/office/drawing/2012/chart" uri="{CE6537A1-D6FC-4f65-9D91-7224C49458BB}"/>
          </c:extLst>
        </c:dLbl>
      </c:pivotFmt>
      <c:pivotFmt>
        <c:idx val="176"/>
        <c:dLbl>
          <c:idx val="0"/>
          <c:showLegendKey val="0"/>
          <c:showVal val="0"/>
          <c:showCatName val="0"/>
          <c:showSerName val="0"/>
          <c:showPercent val="0"/>
          <c:showBubbleSize val="0"/>
          <c:extLst>
            <c:ext xmlns:c15="http://schemas.microsoft.com/office/drawing/2012/chart" uri="{CE6537A1-D6FC-4f65-9D91-7224C49458BB}"/>
          </c:extLst>
        </c:dLbl>
      </c:pivotFmt>
      <c:pivotFmt>
        <c:idx val="177"/>
        <c:dLbl>
          <c:idx val="0"/>
          <c:showLegendKey val="0"/>
          <c:showVal val="0"/>
          <c:showCatName val="0"/>
          <c:showSerName val="0"/>
          <c:showPercent val="0"/>
          <c:showBubbleSize val="0"/>
          <c:extLst>
            <c:ext xmlns:c15="http://schemas.microsoft.com/office/drawing/2012/chart" uri="{CE6537A1-D6FC-4f65-9D91-7224C49458BB}"/>
          </c:extLst>
        </c:dLbl>
      </c:pivotFmt>
      <c:pivotFmt>
        <c:idx val="178"/>
        <c:dLbl>
          <c:idx val="0"/>
          <c:showLegendKey val="0"/>
          <c:showVal val="0"/>
          <c:showCatName val="0"/>
          <c:showSerName val="0"/>
          <c:showPercent val="0"/>
          <c:showBubbleSize val="0"/>
          <c:extLst>
            <c:ext xmlns:c15="http://schemas.microsoft.com/office/drawing/2012/chart" uri="{CE6537A1-D6FC-4f65-9D91-7224C49458BB}"/>
          </c:extLst>
        </c:dLbl>
      </c:pivotFmt>
      <c:pivotFmt>
        <c:idx val="179"/>
        <c:dLbl>
          <c:idx val="0"/>
          <c:showLegendKey val="0"/>
          <c:showVal val="0"/>
          <c:showCatName val="0"/>
          <c:showSerName val="0"/>
          <c:showPercent val="0"/>
          <c:showBubbleSize val="0"/>
          <c:extLst>
            <c:ext xmlns:c15="http://schemas.microsoft.com/office/drawing/2012/chart" uri="{CE6537A1-D6FC-4f65-9D91-7224C49458BB}"/>
          </c:extLst>
        </c:dLbl>
      </c:pivotFmt>
      <c:pivotFmt>
        <c:idx val="180"/>
        <c:dLbl>
          <c:idx val="0"/>
          <c:showLegendKey val="0"/>
          <c:showVal val="0"/>
          <c:showCatName val="0"/>
          <c:showSerName val="0"/>
          <c:showPercent val="0"/>
          <c:showBubbleSize val="0"/>
          <c:extLst>
            <c:ext xmlns:c15="http://schemas.microsoft.com/office/drawing/2012/chart" uri="{CE6537A1-D6FC-4f65-9D91-7224C49458BB}"/>
          </c:extLst>
        </c:dLbl>
      </c:pivotFmt>
      <c:pivotFmt>
        <c:idx val="181"/>
        <c:dLbl>
          <c:idx val="0"/>
          <c:showLegendKey val="0"/>
          <c:showVal val="0"/>
          <c:showCatName val="0"/>
          <c:showSerName val="0"/>
          <c:showPercent val="0"/>
          <c:showBubbleSize val="0"/>
          <c:extLst>
            <c:ext xmlns:c15="http://schemas.microsoft.com/office/drawing/2012/chart" uri="{CE6537A1-D6FC-4f65-9D91-7224C49458BB}"/>
          </c:extLst>
        </c:dLbl>
      </c:pivotFmt>
      <c:pivotFmt>
        <c:idx val="182"/>
        <c:spPr>
          <a:solidFill>
            <a:schemeClr val="accent1"/>
          </a:solidFill>
          <a:ln w="34925" cap="rnd">
            <a:solidFill>
              <a:schemeClr val="accent6">
                <a:lumMod val="50000"/>
              </a:schemeClr>
            </a:solidFill>
            <a:round/>
          </a:ln>
          <a:effectLst>
            <a:outerShdw blurRad="57150" dist="19050" dir="5400000">
              <a:srgbClr val="000000">
                <a:alpha val="63000"/>
              </a:srgbClr>
            </a:outerShdw>
          </a:effectLst>
        </c:spPr>
        <c:marker>
          <c:symbol val="circle"/>
          <c:size val="6"/>
          <c:spPr>
            <a:solidFill>
              <a:schemeClr val="tx1">
                <a:lumMod val="95000"/>
                <a:lumOff val="5000"/>
              </a:schemeClr>
            </a:solidFill>
            <a:ln w="9525">
              <a:solidFill>
                <a:schemeClr val="accent1"/>
              </a:solidFill>
              <a:round/>
            </a:ln>
            <a:effectLst>
              <a:outerShdw blurRad="57150" dist="19050" dir="540000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extLst>
            <c:ext xmlns:c15="http://schemas.microsoft.com/office/drawing/2012/chart" uri="{CE6537A1-D6FC-4f65-9D91-7224C49458BB}"/>
          </c:extLst>
        </c:dLbl>
      </c:pivotFmt>
      <c:pivotFmt>
        <c:idx val="183"/>
        <c:spPr>
          <a:solidFill>
            <a:schemeClr val="accent1"/>
          </a:solidFill>
          <a:ln w="34925" cap="rnd">
            <a:solidFill>
              <a:schemeClr val="accent6">
                <a:lumMod val="50000"/>
              </a:schemeClr>
            </a:solidFill>
            <a:round/>
          </a:ln>
          <a:effectLst>
            <a:outerShdw blurRad="57150" dist="19050" dir="5400000">
              <a:srgbClr val="000000">
                <a:alpha val="63000"/>
              </a:srgbClr>
            </a:outerShdw>
          </a:effectLst>
        </c:spPr>
        <c:marker>
          <c:symbol val="circle"/>
          <c:size val="6"/>
          <c:spPr>
            <a:solidFill>
              <a:schemeClr val="tx1">
                <a:lumMod val="95000"/>
                <a:lumOff val="5000"/>
              </a:schemeClr>
            </a:solidFill>
            <a:ln w="9525">
              <a:solidFill>
                <a:schemeClr val="accent1"/>
              </a:solidFill>
              <a:round/>
            </a:ln>
            <a:effectLst>
              <a:outerShdw blurRad="57150" dist="19050" dir="5400000">
                <a:srgbClr val="000000">
                  <a:alpha val="63000"/>
                </a:srgbClr>
              </a:outerShdw>
            </a:effectLst>
          </c:spPr>
        </c:marker>
        <c:dLbl>
          <c:idx val="0"/>
          <c:layout>
            <c:manualLayout>
              <c:x val="-1.6203688165711307E-2"/>
              <c:y val="-5.6718297224390965E-2"/>
            </c:manualLayout>
          </c:layout>
          <c:tx>
            <c:rich>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effectLst>
                      <a:outerShdw blurRad="60007" dir="2000400" sy="-30000" kx="-800400" algn="bl" rotWithShape="0">
                        <a:schemeClr val="tx1">
                          <a:alpha val="20000"/>
                        </a:schemeClr>
                      </a:outerShdw>
                    </a:effectLst>
                    <a:latin typeface="+mn-lt"/>
                    <a:ea typeface="+mn-ea"/>
                    <a:cs typeface="+mn-cs"/>
                  </a:defRPr>
                </a:pPr>
                <a:r>
                  <a:rPr lang="en-US"/>
                  <a:t>19</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effectLst>
                    <a:outerShdw blurRad="60007" dir="2000400" sy="-30000" kx="-800400" algn="bl" rotWithShape="0">
                      <a:schemeClr val="tx1">
                        <a:alpha val="20000"/>
                      </a:schemeClr>
                    </a:outerShdw>
                  </a:effectLst>
                  <a:latin typeface="+mn-lt"/>
                  <a:ea typeface="+mn-ea"/>
                  <a:cs typeface="+mn-cs"/>
                </a:defRPr>
              </a:pPr>
              <a:endParaRPr lang="pt-BR"/>
            </a:p>
          </c:txPr>
          <c:showLegendKey val="0"/>
          <c:showVal val="0"/>
          <c:showCatName val="0"/>
          <c:showSerName val="1"/>
          <c:showPercent val="0"/>
          <c:showBubbleSize val="0"/>
          <c:extLst>
            <c:ext xmlns:c15="http://schemas.microsoft.com/office/drawing/2012/chart" uri="{CE6537A1-D6FC-4f65-9D91-7224C49458BB}">
              <c15:showDataLabelsRange val="0"/>
            </c:ext>
          </c:extLst>
        </c:dLbl>
      </c:pivotFmt>
      <c:pivotFmt>
        <c:idx val="184"/>
        <c:spPr>
          <a:solidFill>
            <a:schemeClr val="accent1"/>
          </a:solidFill>
          <a:ln w="34925" cap="rnd">
            <a:solidFill>
              <a:schemeClr val="accent6">
                <a:lumMod val="50000"/>
              </a:schemeClr>
            </a:solidFill>
            <a:round/>
          </a:ln>
          <a:effectLst>
            <a:outerShdw blurRad="57150" dist="19050" dir="5400000">
              <a:srgbClr val="000000">
                <a:alpha val="63000"/>
              </a:srgbClr>
            </a:outerShdw>
          </a:effectLst>
        </c:spPr>
        <c:marker>
          <c:symbol val="circle"/>
          <c:size val="6"/>
          <c:spPr>
            <a:solidFill>
              <a:schemeClr val="tx1">
                <a:lumMod val="95000"/>
                <a:lumOff val="5000"/>
              </a:schemeClr>
            </a:solidFill>
            <a:ln w="9525">
              <a:solidFill>
                <a:schemeClr val="accent1"/>
              </a:solidFill>
              <a:round/>
            </a:ln>
            <a:effectLst>
              <a:outerShdw blurRad="57150" dist="19050" dir="5400000">
                <a:srgbClr val="000000">
                  <a:alpha val="63000"/>
                </a:srgbClr>
              </a:outerShdw>
            </a:effectLst>
          </c:spPr>
        </c:marker>
        <c:dLbl>
          <c:idx val="0"/>
          <c:layout>
            <c:manualLayout>
              <c:x val="-2.3035230352303572E-2"/>
              <c:y val="-6.0185185185185182E-2"/>
            </c:manualLayout>
          </c:layout>
          <c:tx>
            <c:rich>
              <a:bodyPr/>
              <a:lstStyle/>
              <a:p>
                <a:fld id="{BA9A8020-3EFF-4B13-9273-439EB123CAA9}" type="VALUE">
                  <a:rPr lang="en-US" i="1"/>
                  <a:pPr/>
                  <a:t>[VALUE]</a:t>
                </a:fld>
                <a:endParaRPr lang="pt-BR"/>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85"/>
        <c:spPr>
          <a:solidFill>
            <a:schemeClr val="accent1"/>
          </a:solidFill>
          <a:ln w="34925" cap="rnd">
            <a:solidFill>
              <a:schemeClr val="accent6">
                <a:lumMod val="50000"/>
              </a:schemeClr>
            </a:solidFill>
            <a:round/>
          </a:ln>
          <a:effectLst>
            <a:outerShdw blurRad="57150" dist="19050" dir="5400000">
              <a:srgbClr val="000000">
                <a:alpha val="63000"/>
              </a:srgbClr>
            </a:outerShdw>
          </a:effectLst>
        </c:spPr>
        <c:marker>
          <c:symbol val="circle"/>
          <c:size val="6"/>
          <c:spPr>
            <a:solidFill>
              <a:schemeClr val="tx1">
                <a:lumMod val="95000"/>
                <a:lumOff val="5000"/>
              </a:schemeClr>
            </a:solidFill>
            <a:ln w="9525">
              <a:solidFill>
                <a:schemeClr val="accent1"/>
              </a:solidFill>
              <a:round/>
            </a:ln>
            <a:effectLst>
              <a:outerShdw blurRad="57150" dist="19050" dir="5400000">
                <a:srgbClr val="000000">
                  <a:alpha val="63000"/>
                </a:srgbClr>
              </a:outerShdw>
            </a:effectLst>
          </c:spPr>
        </c:marker>
        <c:dLbl>
          <c:idx val="0"/>
          <c:layout>
            <c:manualLayout>
              <c:x val="-2.6509661123387009E-2"/>
              <c:y val="-5.0926021268944674E-2"/>
            </c:manualLayout>
          </c:layout>
          <c:showLegendKey val="0"/>
          <c:showVal val="1"/>
          <c:showCatName val="0"/>
          <c:showSerName val="0"/>
          <c:showPercent val="0"/>
          <c:showBubbleSize val="0"/>
          <c:extLst>
            <c:ext xmlns:c15="http://schemas.microsoft.com/office/drawing/2012/chart" uri="{CE6537A1-D6FC-4f65-9D91-7224C49458BB}"/>
          </c:extLst>
        </c:dLbl>
      </c:pivotFmt>
      <c:pivotFmt>
        <c:idx val="186"/>
        <c:spPr>
          <a:solidFill>
            <a:schemeClr val="accent1"/>
          </a:solidFill>
          <a:ln w="34925" cap="rnd">
            <a:solidFill>
              <a:schemeClr val="accent6">
                <a:lumMod val="50000"/>
              </a:schemeClr>
            </a:solidFill>
            <a:round/>
          </a:ln>
          <a:effectLst>
            <a:outerShdw blurRad="57150" dist="19050" dir="5400000">
              <a:srgbClr val="000000">
                <a:alpha val="63000"/>
              </a:srgbClr>
            </a:outerShdw>
          </a:effectLst>
        </c:spPr>
        <c:marker>
          <c:symbol val="circle"/>
          <c:size val="6"/>
          <c:spPr>
            <a:solidFill>
              <a:schemeClr val="tx1">
                <a:lumMod val="95000"/>
                <a:lumOff val="5000"/>
              </a:schemeClr>
            </a:solidFill>
            <a:ln w="9525">
              <a:solidFill>
                <a:schemeClr val="accent1"/>
              </a:solidFill>
              <a:round/>
            </a:ln>
            <a:effectLst>
              <a:outerShdw blurRad="57150" dist="19050" dir="5400000">
                <a:srgbClr val="000000">
                  <a:alpha val="63000"/>
                </a:srgbClr>
              </a:outerShdw>
            </a:effectLst>
          </c:spPr>
        </c:marker>
        <c:dLbl>
          <c:idx val="0"/>
          <c:layout>
            <c:manualLayout>
              <c:x val="-1.0840108401084011E-2"/>
              <c:y val="-5.0925925925925923E-2"/>
            </c:manualLayout>
          </c:layout>
          <c:showLegendKey val="0"/>
          <c:showVal val="1"/>
          <c:showCatName val="0"/>
          <c:showSerName val="0"/>
          <c:showPercent val="0"/>
          <c:showBubbleSize val="0"/>
          <c:extLst>
            <c:ext xmlns:c15="http://schemas.microsoft.com/office/drawing/2012/chart" uri="{CE6537A1-D6FC-4f65-9D91-7224C49458BB}"/>
          </c:extLst>
        </c:dLbl>
      </c:pivotFmt>
      <c:pivotFmt>
        <c:idx val="187"/>
        <c:spPr>
          <a:solidFill>
            <a:schemeClr val="accent1"/>
          </a:solidFill>
          <a:ln w="34925" cap="rnd">
            <a:solidFill>
              <a:schemeClr val="accent6">
                <a:lumMod val="50000"/>
              </a:schemeClr>
            </a:solidFill>
            <a:round/>
          </a:ln>
          <a:effectLst>
            <a:outerShdw blurRad="57150" dist="19050" dir="5400000">
              <a:srgbClr val="000000">
                <a:alpha val="63000"/>
              </a:srgbClr>
            </a:outerShdw>
          </a:effectLst>
        </c:spPr>
        <c:marker>
          <c:symbol val="circle"/>
          <c:size val="6"/>
          <c:spPr>
            <a:solidFill>
              <a:schemeClr val="tx1">
                <a:lumMod val="95000"/>
                <a:lumOff val="5000"/>
              </a:schemeClr>
            </a:solidFill>
            <a:ln w="9525">
              <a:solidFill>
                <a:schemeClr val="accent1"/>
              </a:solidFill>
              <a:round/>
            </a:ln>
            <a:effectLst>
              <a:outerShdw blurRad="57150" dist="19050" dir="5400000">
                <a:srgbClr val="000000">
                  <a:alpha val="63000"/>
                </a:srgbClr>
              </a:outerShdw>
            </a:effectLst>
          </c:spPr>
        </c:marker>
        <c:dLbl>
          <c:idx val="0"/>
          <c:layout>
            <c:manualLayout>
              <c:x val="-1.2195121951219513E-2"/>
              <c:y val="-5.5555555555555643E-2"/>
            </c:manualLayout>
          </c:layout>
          <c:showLegendKey val="0"/>
          <c:showVal val="1"/>
          <c:showCatName val="0"/>
          <c:showSerName val="0"/>
          <c:showPercent val="0"/>
          <c:showBubbleSize val="0"/>
          <c:extLst>
            <c:ext xmlns:c15="http://schemas.microsoft.com/office/drawing/2012/chart" uri="{CE6537A1-D6FC-4f65-9D91-7224C49458BB}"/>
          </c:extLst>
        </c:dLbl>
      </c:pivotFmt>
      <c:pivotFmt>
        <c:idx val="188"/>
        <c:spPr>
          <a:solidFill>
            <a:schemeClr val="accent1"/>
          </a:solidFill>
          <a:ln w="34925" cap="rnd">
            <a:solidFill>
              <a:schemeClr val="accent6">
                <a:lumMod val="50000"/>
              </a:schemeClr>
            </a:solidFill>
            <a:round/>
          </a:ln>
          <a:effectLst>
            <a:outerShdw blurRad="57150" dist="19050" dir="5400000">
              <a:srgbClr val="000000">
                <a:alpha val="63000"/>
              </a:srgbClr>
            </a:outerShdw>
          </a:effectLst>
        </c:spPr>
        <c:marker>
          <c:symbol val="circle"/>
          <c:size val="6"/>
          <c:spPr>
            <a:solidFill>
              <a:schemeClr val="tx1">
                <a:lumMod val="95000"/>
                <a:lumOff val="5000"/>
              </a:schemeClr>
            </a:solidFill>
            <a:ln w="9525">
              <a:solidFill>
                <a:schemeClr val="accent1"/>
              </a:solidFill>
              <a:round/>
            </a:ln>
            <a:effectLst>
              <a:outerShdw blurRad="57150" dist="19050" dir="5400000">
                <a:srgbClr val="000000">
                  <a:alpha val="63000"/>
                </a:srgbClr>
              </a:outerShdw>
            </a:effectLst>
          </c:spPr>
        </c:marker>
        <c:dLbl>
          <c:idx val="0"/>
          <c:layout>
            <c:manualLayout>
              <c:x val="-1.0840108401084061E-2"/>
              <c:y val="-3.7037037037037035E-2"/>
            </c:manualLayout>
          </c:layout>
          <c:showLegendKey val="0"/>
          <c:showVal val="1"/>
          <c:showCatName val="0"/>
          <c:showSerName val="0"/>
          <c:showPercent val="0"/>
          <c:showBubbleSize val="0"/>
          <c:extLst>
            <c:ext xmlns:c15="http://schemas.microsoft.com/office/drawing/2012/chart" uri="{CE6537A1-D6FC-4f65-9D91-7224C49458BB}"/>
          </c:extLst>
        </c:dLbl>
      </c:pivotFmt>
      <c:pivotFmt>
        <c:idx val="189"/>
        <c:spPr>
          <a:solidFill>
            <a:schemeClr val="accent1"/>
          </a:solidFill>
          <a:ln w="34925" cap="rnd">
            <a:solidFill>
              <a:schemeClr val="accent6">
                <a:lumMod val="50000"/>
              </a:schemeClr>
            </a:solidFill>
            <a:round/>
          </a:ln>
          <a:effectLst>
            <a:outerShdw blurRad="57150" dist="19050" dir="5400000">
              <a:srgbClr val="000000">
                <a:alpha val="63000"/>
              </a:srgbClr>
            </a:outerShdw>
          </a:effectLst>
        </c:spPr>
        <c:marker>
          <c:symbol val="circle"/>
          <c:size val="6"/>
          <c:spPr>
            <a:solidFill>
              <a:schemeClr val="tx1">
                <a:lumMod val="95000"/>
                <a:lumOff val="5000"/>
              </a:schemeClr>
            </a:solidFill>
            <a:ln w="9525">
              <a:solidFill>
                <a:schemeClr val="accent1"/>
              </a:solidFill>
              <a:round/>
            </a:ln>
            <a:effectLst>
              <a:outerShdw blurRad="57150" dist="19050" dir="5400000">
                <a:srgbClr val="000000">
                  <a:alpha val="63000"/>
                </a:srgbClr>
              </a:outerShdw>
            </a:effectLst>
          </c:spPr>
        </c:marker>
        <c:dLbl>
          <c:idx val="0"/>
          <c:layout>
            <c:manualLayout>
              <c:x val="-1.2195121951219611E-2"/>
              <c:y val="-3.2407407407407406E-2"/>
            </c:manualLayout>
          </c:layout>
          <c:showLegendKey val="0"/>
          <c:showVal val="1"/>
          <c:showCatName val="0"/>
          <c:showSerName val="0"/>
          <c:showPercent val="0"/>
          <c:showBubbleSize val="0"/>
          <c:extLst>
            <c:ext xmlns:c15="http://schemas.microsoft.com/office/drawing/2012/chart" uri="{CE6537A1-D6FC-4f65-9D91-7224C49458BB}"/>
          </c:extLst>
        </c:dLbl>
      </c:pivotFmt>
      <c:pivotFmt>
        <c:idx val="190"/>
        <c:spPr>
          <a:solidFill>
            <a:schemeClr val="accent1"/>
          </a:solidFill>
          <a:ln w="34925" cap="rnd">
            <a:solidFill>
              <a:schemeClr val="accent6">
                <a:lumMod val="50000"/>
              </a:schemeClr>
            </a:solidFill>
            <a:round/>
          </a:ln>
          <a:effectLst>
            <a:outerShdw blurRad="57150" dist="19050" dir="5400000">
              <a:srgbClr val="000000">
                <a:alpha val="63000"/>
              </a:srgbClr>
            </a:outerShdw>
          </a:effectLst>
        </c:spPr>
        <c:marker>
          <c:symbol val="circle"/>
          <c:size val="6"/>
          <c:spPr>
            <a:solidFill>
              <a:schemeClr val="tx1">
                <a:lumMod val="95000"/>
                <a:lumOff val="5000"/>
              </a:schemeClr>
            </a:solidFill>
            <a:ln w="9525">
              <a:solidFill>
                <a:schemeClr val="accent1"/>
              </a:solidFill>
              <a:round/>
            </a:ln>
            <a:effectLst>
              <a:outerShdw blurRad="57150" dist="19050" dir="5400000">
                <a:srgbClr val="000000">
                  <a:alpha val="63000"/>
                </a:srgbClr>
              </a:outerShdw>
            </a:effectLst>
          </c:spPr>
        </c:marker>
        <c:dLbl>
          <c:idx val="0"/>
          <c:layout>
            <c:manualLayout>
              <c:x val="-9.4850948509486097E-3"/>
              <c:y val="-2.3148148148148192E-2"/>
            </c:manualLayout>
          </c:layout>
          <c:showLegendKey val="0"/>
          <c:showVal val="1"/>
          <c:showCatName val="0"/>
          <c:showSerName val="0"/>
          <c:showPercent val="0"/>
          <c:showBubbleSize val="0"/>
          <c:extLst>
            <c:ext xmlns:c15="http://schemas.microsoft.com/office/drawing/2012/chart" uri="{CE6537A1-D6FC-4f65-9D91-7224C49458BB}"/>
          </c:extLst>
        </c:dLbl>
      </c:pivotFmt>
      <c:pivotFmt>
        <c:idx val="191"/>
        <c:spPr>
          <a:solidFill>
            <a:schemeClr val="accent1"/>
          </a:solidFill>
          <a:ln w="34925" cap="rnd">
            <a:solidFill>
              <a:schemeClr val="accent6">
                <a:lumMod val="50000"/>
              </a:schemeClr>
            </a:solidFill>
            <a:round/>
          </a:ln>
          <a:effectLst>
            <a:outerShdw blurRad="57150" dist="19050" dir="5400000">
              <a:srgbClr val="000000">
                <a:alpha val="63000"/>
              </a:srgbClr>
            </a:outerShdw>
          </a:effectLst>
        </c:spPr>
        <c:marker>
          <c:symbol val="circle"/>
          <c:size val="6"/>
          <c:spPr>
            <a:solidFill>
              <a:schemeClr val="tx1">
                <a:lumMod val="95000"/>
                <a:lumOff val="5000"/>
              </a:schemeClr>
            </a:solidFill>
            <a:ln w="9525">
              <a:solidFill>
                <a:schemeClr val="accent1"/>
              </a:solidFill>
              <a:round/>
            </a:ln>
            <a:effectLst>
              <a:outerShdw blurRad="57150" dist="19050" dir="5400000">
                <a:srgbClr val="000000">
                  <a:alpha val="63000"/>
                </a:srgbClr>
              </a:outerShdw>
            </a:effectLst>
          </c:spPr>
        </c:marker>
        <c:dLbl>
          <c:idx val="0"/>
          <c:layout>
            <c:manualLayout>
              <c:x val="0"/>
              <c:y val="-4.1666666666666664E-2"/>
            </c:manualLayout>
          </c:layout>
          <c:showLegendKey val="0"/>
          <c:showVal val="1"/>
          <c:showCatName val="0"/>
          <c:showSerName val="0"/>
          <c:showPercent val="0"/>
          <c:showBubbleSize val="0"/>
          <c:extLst>
            <c:ext xmlns:c15="http://schemas.microsoft.com/office/drawing/2012/chart" uri="{CE6537A1-D6FC-4f65-9D91-7224C49458BB}"/>
          </c:extLst>
        </c:dLbl>
      </c:pivotFmt>
      <c:pivotFmt>
        <c:idx val="192"/>
        <c:spPr>
          <a:solidFill>
            <a:schemeClr val="accent1"/>
          </a:solidFill>
          <a:ln w="34925" cap="rnd">
            <a:solidFill>
              <a:schemeClr val="accent6">
                <a:lumMod val="50000"/>
              </a:schemeClr>
            </a:solidFill>
            <a:round/>
          </a:ln>
          <a:effectLst>
            <a:outerShdw blurRad="57150" dist="19050" dir="5400000">
              <a:srgbClr val="000000">
                <a:alpha val="63000"/>
              </a:srgbClr>
            </a:outerShdw>
          </a:effectLst>
        </c:spPr>
        <c:marker>
          <c:symbol val="circle"/>
          <c:size val="6"/>
          <c:spPr>
            <a:solidFill>
              <a:schemeClr val="tx1">
                <a:lumMod val="95000"/>
                <a:lumOff val="5000"/>
              </a:schemeClr>
            </a:solidFill>
            <a:ln w="9525">
              <a:solidFill>
                <a:schemeClr val="accent1"/>
              </a:solidFill>
              <a:round/>
            </a:ln>
            <a:effectLst>
              <a:outerShdw blurRad="57150" dist="19050" dir="5400000">
                <a:srgbClr val="000000">
                  <a:alpha val="63000"/>
                </a:srgbClr>
              </a:outerShdw>
            </a:effectLst>
          </c:spPr>
        </c:marker>
        <c:dLbl>
          <c:idx val="0"/>
          <c:layout>
            <c:manualLayout>
              <c:x val="-2.0325203252032419E-2"/>
              <c:y val="-4.1666666666666664E-2"/>
            </c:manualLayout>
          </c:layout>
          <c:showLegendKey val="0"/>
          <c:showVal val="1"/>
          <c:showCatName val="0"/>
          <c:showSerName val="0"/>
          <c:showPercent val="0"/>
          <c:showBubbleSize val="0"/>
          <c:extLst>
            <c:ext xmlns:c15="http://schemas.microsoft.com/office/drawing/2012/chart" uri="{CE6537A1-D6FC-4f65-9D91-7224C49458BB}"/>
          </c:extLst>
        </c:dLbl>
      </c:pivotFmt>
      <c:pivotFmt>
        <c:idx val="193"/>
        <c:spPr>
          <a:solidFill>
            <a:schemeClr val="accent1"/>
          </a:solidFill>
          <a:ln w="34925" cap="rnd">
            <a:solidFill>
              <a:schemeClr val="accent6">
                <a:lumMod val="50000"/>
              </a:schemeClr>
            </a:solidFill>
            <a:round/>
          </a:ln>
          <a:effectLst>
            <a:outerShdw blurRad="57150" dist="19050" dir="5400000">
              <a:srgbClr val="000000">
                <a:alpha val="63000"/>
              </a:srgbClr>
            </a:outerShdw>
          </a:effectLst>
        </c:spPr>
        <c:marker>
          <c:symbol val="circle"/>
          <c:size val="6"/>
          <c:spPr>
            <a:solidFill>
              <a:schemeClr val="tx1">
                <a:lumMod val="95000"/>
                <a:lumOff val="5000"/>
              </a:schemeClr>
            </a:solidFill>
            <a:ln w="9525">
              <a:solidFill>
                <a:schemeClr val="accent1"/>
              </a:solidFill>
              <a:round/>
            </a:ln>
            <a:effectLst>
              <a:outerShdw blurRad="57150" dist="19050" dir="540000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extLst>
            <c:ext xmlns:c15="http://schemas.microsoft.com/office/drawing/2012/chart" uri="{CE6537A1-D6FC-4f65-9D91-7224C49458BB}"/>
          </c:extLst>
        </c:dLbl>
      </c:pivotFmt>
      <c:pivotFmt>
        <c:idx val="194"/>
        <c:spPr>
          <a:solidFill>
            <a:schemeClr val="accent1"/>
          </a:solidFill>
          <a:ln w="34925" cap="rnd">
            <a:solidFill>
              <a:schemeClr val="accent6">
                <a:lumMod val="50000"/>
              </a:schemeClr>
            </a:solidFill>
            <a:round/>
          </a:ln>
          <a:effectLst>
            <a:outerShdw blurRad="57150" dist="19050" dir="5400000">
              <a:srgbClr val="000000">
                <a:alpha val="63000"/>
              </a:srgbClr>
            </a:outerShdw>
          </a:effectLst>
        </c:spPr>
        <c:marker>
          <c:symbol val="circle"/>
          <c:size val="6"/>
          <c:spPr>
            <a:solidFill>
              <a:schemeClr val="tx1">
                <a:lumMod val="95000"/>
                <a:lumOff val="5000"/>
              </a:schemeClr>
            </a:solidFill>
            <a:ln w="9525">
              <a:solidFill>
                <a:schemeClr val="accent1"/>
              </a:solidFill>
              <a:round/>
            </a:ln>
            <a:effectLst>
              <a:outerShdw blurRad="57150" dist="19050" dir="5400000">
                <a:srgbClr val="000000">
                  <a:alpha val="63000"/>
                </a:srgbClr>
              </a:outerShdw>
            </a:effectLst>
          </c:spPr>
        </c:marker>
        <c:dLbl>
          <c:idx val="0"/>
          <c:layout>
            <c:manualLayout>
              <c:x val="-2.6509661123387009E-2"/>
              <c:y val="-5.092602126894467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extLst>
            <c:ext xmlns:c15="http://schemas.microsoft.com/office/drawing/2012/chart" uri="{CE6537A1-D6FC-4f65-9D91-7224C49458BB}"/>
          </c:extLst>
        </c:dLbl>
      </c:pivotFmt>
      <c:pivotFmt>
        <c:idx val="195"/>
        <c:spPr>
          <a:solidFill>
            <a:schemeClr val="accent1"/>
          </a:solidFill>
          <a:ln w="34925" cap="rnd">
            <a:solidFill>
              <a:schemeClr val="accent6">
                <a:lumMod val="50000"/>
              </a:schemeClr>
            </a:solidFill>
            <a:round/>
          </a:ln>
          <a:effectLst>
            <a:outerShdw blurRad="57150" dist="19050" dir="5400000">
              <a:srgbClr val="000000">
                <a:alpha val="63000"/>
              </a:srgbClr>
            </a:outerShdw>
          </a:effectLst>
        </c:spPr>
        <c:marker>
          <c:symbol val="circle"/>
          <c:size val="6"/>
          <c:spPr>
            <a:solidFill>
              <a:schemeClr val="tx1">
                <a:lumMod val="95000"/>
                <a:lumOff val="5000"/>
              </a:schemeClr>
            </a:solidFill>
            <a:ln w="9525">
              <a:solidFill>
                <a:schemeClr val="accent1"/>
              </a:solidFill>
              <a:round/>
            </a:ln>
            <a:effectLst>
              <a:outerShdw blurRad="57150" dist="19050" dir="5400000">
                <a:srgbClr val="000000">
                  <a:alpha val="63000"/>
                </a:srgbClr>
              </a:outerShdw>
            </a:effectLst>
          </c:spPr>
        </c:marker>
        <c:dLbl>
          <c:idx val="0"/>
          <c:layout>
            <c:manualLayout>
              <c:x val="-1.6203688165711307E-2"/>
              <c:y val="-5.6718297224390965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a:t>19</a:t>
                </a:r>
              </a:p>
            </c:rich>
          </c:tx>
          <c:numFmt formatCode="#,##0.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1"/>
          <c:showPercent val="0"/>
          <c:showBubbleSize val="0"/>
          <c:extLst>
            <c:ext xmlns:c15="http://schemas.microsoft.com/office/drawing/2012/chart" uri="{CE6537A1-D6FC-4f65-9D91-7224C49458BB}">
              <c15:showDataLabelsRange val="0"/>
            </c:ext>
          </c:extLst>
        </c:dLbl>
      </c:pivotFmt>
      <c:pivotFmt>
        <c:idx val="196"/>
        <c:spPr>
          <a:solidFill>
            <a:schemeClr val="accent1"/>
          </a:solidFill>
          <a:ln w="34925" cap="rnd">
            <a:solidFill>
              <a:schemeClr val="accent6">
                <a:lumMod val="50000"/>
              </a:schemeClr>
            </a:solidFill>
            <a:round/>
          </a:ln>
          <a:effectLst>
            <a:outerShdw blurRad="57150" dist="19050" dir="5400000">
              <a:srgbClr val="000000">
                <a:alpha val="63000"/>
              </a:srgbClr>
            </a:outerShdw>
          </a:effectLst>
        </c:spPr>
        <c:marker>
          <c:symbol val="circle"/>
          <c:size val="6"/>
          <c:spPr>
            <a:solidFill>
              <a:schemeClr val="tx1">
                <a:lumMod val="95000"/>
                <a:lumOff val="5000"/>
              </a:schemeClr>
            </a:solidFill>
            <a:ln w="9525">
              <a:solidFill>
                <a:schemeClr val="accent1"/>
              </a:solidFill>
              <a:round/>
            </a:ln>
            <a:effectLst>
              <a:outerShdw blurRad="57150" dist="19050" dir="5400000">
                <a:srgbClr val="000000">
                  <a:alpha val="63000"/>
                </a:srgbClr>
              </a:outerShdw>
            </a:effectLst>
          </c:spPr>
        </c:marker>
        <c:dLbl>
          <c:idx val="0"/>
          <c:layout>
            <c:manualLayout>
              <c:x val="-1.0840108401084011E-2"/>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extLst>
            <c:ext xmlns:c15="http://schemas.microsoft.com/office/drawing/2012/chart" uri="{CE6537A1-D6FC-4f65-9D91-7224C49458BB}"/>
          </c:extLst>
        </c:dLbl>
      </c:pivotFmt>
      <c:pivotFmt>
        <c:idx val="197"/>
        <c:spPr>
          <a:solidFill>
            <a:schemeClr val="accent1"/>
          </a:solidFill>
          <a:ln w="34925" cap="rnd">
            <a:solidFill>
              <a:schemeClr val="accent6">
                <a:lumMod val="50000"/>
              </a:schemeClr>
            </a:solidFill>
            <a:round/>
          </a:ln>
          <a:effectLst>
            <a:outerShdw blurRad="57150" dist="19050" dir="5400000">
              <a:srgbClr val="000000">
                <a:alpha val="63000"/>
              </a:srgbClr>
            </a:outerShdw>
          </a:effectLst>
        </c:spPr>
        <c:marker>
          <c:symbol val="circle"/>
          <c:size val="6"/>
          <c:spPr>
            <a:solidFill>
              <a:schemeClr val="tx1">
                <a:lumMod val="95000"/>
                <a:lumOff val="5000"/>
              </a:schemeClr>
            </a:solidFill>
            <a:ln w="9525">
              <a:solidFill>
                <a:schemeClr val="accent1"/>
              </a:solidFill>
              <a:round/>
            </a:ln>
            <a:effectLst>
              <a:outerShdw blurRad="57150" dist="19050" dir="5400000">
                <a:srgbClr val="000000">
                  <a:alpha val="63000"/>
                </a:srgbClr>
              </a:outerShdw>
            </a:effectLst>
          </c:spPr>
        </c:marker>
        <c:dLbl>
          <c:idx val="0"/>
          <c:layout>
            <c:manualLayout>
              <c:x val="-1.2195121951219513E-2"/>
              <c:y val="-5.555555555555564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extLst>
            <c:ext xmlns:c15="http://schemas.microsoft.com/office/drawing/2012/chart" uri="{CE6537A1-D6FC-4f65-9D91-7224C49458BB}"/>
          </c:extLst>
        </c:dLbl>
      </c:pivotFmt>
      <c:pivotFmt>
        <c:idx val="198"/>
        <c:spPr>
          <a:solidFill>
            <a:schemeClr val="accent1"/>
          </a:solidFill>
          <a:ln w="34925" cap="rnd">
            <a:solidFill>
              <a:schemeClr val="accent6">
                <a:lumMod val="50000"/>
              </a:schemeClr>
            </a:solidFill>
            <a:round/>
          </a:ln>
          <a:effectLst>
            <a:outerShdw blurRad="57150" dist="19050" dir="5400000">
              <a:srgbClr val="000000">
                <a:alpha val="63000"/>
              </a:srgbClr>
            </a:outerShdw>
          </a:effectLst>
        </c:spPr>
        <c:marker>
          <c:symbol val="circle"/>
          <c:size val="6"/>
          <c:spPr>
            <a:solidFill>
              <a:schemeClr val="tx1">
                <a:lumMod val="95000"/>
                <a:lumOff val="5000"/>
              </a:schemeClr>
            </a:solidFill>
            <a:ln w="9525">
              <a:solidFill>
                <a:schemeClr val="accent1"/>
              </a:solidFill>
              <a:round/>
            </a:ln>
            <a:effectLst>
              <a:outerShdw blurRad="57150" dist="19050" dir="5400000">
                <a:srgbClr val="000000">
                  <a:alpha val="63000"/>
                </a:srgbClr>
              </a:outerShdw>
            </a:effectLst>
          </c:spPr>
        </c:marker>
        <c:dLbl>
          <c:idx val="0"/>
          <c:layout>
            <c:manualLayout>
              <c:x val="-1.0840108401084061E-2"/>
              <c:y val="-3.70370370370370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extLst>
            <c:ext xmlns:c15="http://schemas.microsoft.com/office/drawing/2012/chart" uri="{CE6537A1-D6FC-4f65-9D91-7224C49458BB}"/>
          </c:extLst>
        </c:dLbl>
      </c:pivotFmt>
      <c:pivotFmt>
        <c:idx val="199"/>
        <c:spPr>
          <a:solidFill>
            <a:schemeClr val="accent1"/>
          </a:solidFill>
          <a:ln w="34925" cap="rnd">
            <a:solidFill>
              <a:schemeClr val="accent6">
                <a:lumMod val="50000"/>
              </a:schemeClr>
            </a:solidFill>
            <a:round/>
          </a:ln>
          <a:effectLst>
            <a:outerShdw blurRad="57150" dist="19050" dir="5400000">
              <a:srgbClr val="000000">
                <a:alpha val="63000"/>
              </a:srgbClr>
            </a:outerShdw>
          </a:effectLst>
        </c:spPr>
        <c:marker>
          <c:symbol val="circle"/>
          <c:size val="6"/>
          <c:spPr>
            <a:solidFill>
              <a:schemeClr val="tx1">
                <a:lumMod val="95000"/>
                <a:lumOff val="5000"/>
              </a:schemeClr>
            </a:solidFill>
            <a:ln w="9525">
              <a:solidFill>
                <a:schemeClr val="accent1"/>
              </a:solidFill>
              <a:round/>
            </a:ln>
            <a:effectLst>
              <a:outerShdw blurRad="57150" dist="19050" dir="5400000">
                <a:srgbClr val="000000">
                  <a:alpha val="63000"/>
                </a:srgbClr>
              </a:outerShdw>
            </a:effectLst>
          </c:spPr>
        </c:marker>
        <c:dLbl>
          <c:idx val="0"/>
          <c:layout>
            <c:manualLayout>
              <c:x val="-2.3035230352303572E-2"/>
              <c:y val="-6.0185185185185182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A9A8020-3EFF-4B13-9273-439EB123CAA9}" type="VALUE">
                  <a:rPr lang="en-US" i="1"/>
                  <a:pPr>
                    <a:defRPr sz="900" b="0" i="0" u="none" strike="noStrike" kern="1200" baseline="0">
                      <a:solidFill>
                        <a:schemeClr val="tx1">
                          <a:lumMod val="75000"/>
                          <a:lumOff val="25000"/>
                        </a:schemeClr>
                      </a:solidFill>
                      <a:latin typeface="+mn-lt"/>
                      <a:ea typeface="+mn-ea"/>
                      <a:cs typeface="+mn-cs"/>
                    </a:defRPr>
                  </a:pPr>
                  <a:t>[VALUE]</a:t>
                </a:fld>
                <a:endParaRPr lang="pt-B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00"/>
        <c:spPr>
          <a:solidFill>
            <a:schemeClr val="accent1"/>
          </a:solidFill>
          <a:ln w="34925" cap="rnd">
            <a:solidFill>
              <a:schemeClr val="accent6">
                <a:lumMod val="50000"/>
              </a:schemeClr>
            </a:solidFill>
            <a:round/>
          </a:ln>
          <a:effectLst>
            <a:outerShdw blurRad="57150" dist="19050" dir="5400000">
              <a:srgbClr val="000000">
                <a:alpha val="63000"/>
              </a:srgbClr>
            </a:outerShdw>
          </a:effectLst>
        </c:spPr>
        <c:marker>
          <c:symbol val="circle"/>
          <c:size val="6"/>
          <c:spPr>
            <a:solidFill>
              <a:schemeClr val="tx1">
                <a:lumMod val="95000"/>
                <a:lumOff val="5000"/>
              </a:schemeClr>
            </a:solidFill>
            <a:ln w="9525">
              <a:solidFill>
                <a:schemeClr val="accent1"/>
              </a:solidFill>
              <a:round/>
            </a:ln>
            <a:effectLst>
              <a:outerShdw blurRad="57150" dist="19050" dir="5400000">
                <a:srgbClr val="000000">
                  <a:alpha val="63000"/>
                </a:srgbClr>
              </a:outerShdw>
            </a:effectLst>
          </c:spPr>
        </c:marker>
        <c:dLbl>
          <c:idx val="0"/>
          <c:layout>
            <c:manualLayout>
              <c:x val="-1.2195121951219611E-2"/>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extLst>
            <c:ext xmlns:c15="http://schemas.microsoft.com/office/drawing/2012/chart" uri="{CE6537A1-D6FC-4f65-9D91-7224C49458BB}"/>
          </c:extLst>
        </c:dLbl>
      </c:pivotFmt>
      <c:pivotFmt>
        <c:idx val="201"/>
        <c:spPr>
          <a:solidFill>
            <a:schemeClr val="accent1"/>
          </a:solidFill>
          <a:ln w="34925" cap="rnd">
            <a:solidFill>
              <a:schemeClr val="accent6">
                <a:lumMod val="50000"/>
              </a:schemeClr>
            </a:solidFill>
            <a:round/>
          </a:ln>
          <a:effectLst>
            <a:outerShdw blurRad="57150" dist="19050" dir="5400000">
              <a:srgbClr val="000000">
                <a:alpha val="63000"/>
              </a:srgbClr>
            </a:outerShdw>
          </a:effectLst>
        </c:spPr>
        <c:marker>
          <c:symbol val="circle"/>
          <c:size val="6"/>
          <c:spPr>
            <a:solidFill>
              <a:schemeClr val="tx1">
                <a:lumMod val="95000"/>
                <a:lumOff val="5000"/>
              </a:schemeClr>
            </a:solidFill>
            <a:ln w="9525">
              <a:solidFill>
                <a:schemeClr val="accent1"/>
              </a:solidFill>
              <a:round/>
            </a:ln>
            <a:effectLst>
              <a:outerShdw blurRad="57150" dist="19050" dir="5400000">
                <a:srgbClr val="000000">
                  <a:alpha val="63000"/>
                </a:srgbClr>
              </a:outerShdw>
            </a:effectLst>
          </c:spPr>
        </c:marker>
        <c:dLbl>
          <c:idx val="0"/>
          <c:layout>
            <c:manualLayout>
              <c:x val="-9.4850948509486097E-3"/>
              <c:y val="-2.314814814814819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extLst>
            <c:ext xmlns:c15="http://schemas.microsoft.com/office/drawing/2012/chart" uri="{CE6537A1-D6FC-4f65-9D91-7224C49458BB}"/>
          </c:extLst>
        </c:dLbl>
      </c:pivotFmt>
      <c:pivotFmt>
        <c:idx val="202"/>
        <c:spPr>
          <a:solidFill>
            <a:schemeClr val="accent1"/>
          </a:solidFill>
          <a:ln w="34925" cap="rnd">
            <a:solidFill>
              <a:schemeClr val="accent6">
                <a:lumMod val="50000"/>
              </a:schemeClr>
            </a:solidFill>
            <a:round/>
          </a:ln>
          <a:effectLst>
            <a:outerShdw blurRad="57150" dist="19050" dir="5400000">
              <a:srgbClr val="000000">
                <a:alpha val="63000"/>
              </a:srgbClr>
            </a:outerShdw>
          </a:effectLst>
        </c:spPr>
        <c:marker>
          <c:symbol val="circle"/>
          <c:size val="6"/>
          <c:spPr>
            <a:solidFill>
              <a:schemeClr val="tx1">
                <a:lumMod val="95000"/>
                <a:lumOff val="5000"/>
              </a:schemeClr>
            </a:solidFill>
            <a:ln w="9525">
              <a:solidFill>
                <a:schemeClr val="accent1"/>
              </a:solidFill>
              <a:round/>
            </a:ln>
            <a:effectLst>
              <a:outerShdw blurRad="57150" dist="19050" dir="5400000">
                <a:srgbClr val="000000">
                  <a:alpha val="63000"/>
                </a:srgbClr>
              </a:outerShdw>
            </a:effectLst>
          </c:spPr>
        </c:marker>
        <c:dLbl>
          <c:idx val="0"/>
          <c:layout>
            <c:manualLayout>
              <c:x val="0"/>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extLst>
            <c:ext xmlns:c15="http://schemas.microsoft.com/office/drawing/2012/chart" uri="{CE6537A1-D6FC-4f65-9D91-7224C49458BB}"/>
          </c:extLst>
        </c:dLbl>
      </c:pivotFmt>
      <c:pivotFmt>
        <c:idx val="203"/>
        <c:spPr>
          <a:solidFill>
            <a:schemeClr val="accent1"/>
          </a:solidFill>
          <a:ln w="34925" cap="rnd">
            <a:solidFill>
              <a:schemeClr val="accent6">
                <a:lumMod val="50000"/>
              </a:schemeClr>
            </a:solidFill>
            <a:round/>
          </a:ln>
          <a:effectLst>
            <a:outerShdw blurRad="57150" dist="19050" dir="5400000">
              <a:srgbClr val="000000">
                <a:alpha val="63000"/>
              </a:srgbClr>
            </a:outerShdw>
          </a:effectLst>
        </c:spPr>
        <c:marker>
          <c:symbol val="circle"/>
          <c:size val="6"/>
          <c:spPr>
            <a:solidFill>
              <a:schemeClr val="tx1">
                <a:lumMod val="95000"/>
                <a:lumOff val="5000"/>
              </a:schemeClr>
            </a:solidFill>
            <a:ln w="9525">
              <a:solidFill>
                <a:schemeClr val="accent1"/>
              </a:solidFill>
              <a:round/>
            </a:ln>
            <a:effectLst>
              <a:outerShdw blurRad="57150" dist="19050" dir="5400000">
                <a:srgbClr val="000000">
                  <a:alpha val="63000"/>
                </a:srgbClr>
              </a:outerShdw>
            </a:effectLst>
          </c:spPr>
        </c:marker>
        <c:dLbl>
          <c:idx val="0"/>
          <c:layout>
            <c:manualLayout>
              <c:x val="-2.0325203252032419E-2"/>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extLst>
            <c:ext xmlns:c15="http://schemas.microsoft.com/office/drawing/2012/chart" uri="{CE6537A1-D6FC-4f65-9D91-7224C49458BB}"/>
          </c:extLst>
        </c:dLbl>
      </c:pivotFmt>
      <c:pivotFmt>
        <c:idx val="204"/>
        <c:spPr>
          <a:solidFill>
            <a:schemeClr val="accent1"/>
          </a:solidFill>
          <a:ln w="34925" cap="rnd">
            <a:solidFill>
              <a:schemeClr val="accent6">
                <a:lumMod val="50000"/>
              </a:schemeClr>
            </a:solidFill>
            <a:round/>
          </a:ln>
          <a:effectLst>
            <a:outerShdw blurRad="57150" dist="19050" dir="5400000">
              <a:srgbClr val="000000">
                <a:alpha val="63000"/>
              </a:srgbClr>
            </a:outerShdw>
          </a:effectLst>
        </c:spPr>
        <c:marker>
          <c:symbol val="circle"/>
          <c:size val="6"/>
          <c:spPr>
            <a:solidFill>
              <a:schemeClr val="tx1">
                <a:lumMod val="95000"/>
                <a:lumOff val="5000"/>
              </a:schemeClr>
            </a:solidFill>
            <a:ln w="9525">
              <a:solidFill>
                <a:schemeClr val="accent1"/>
              </a:solidFill>
              <a:round/>
            </a:ln>
            <a:effectLst>
              <a:outerShdw blurRad="57150" dist="19050" dir="5400000">
                <a:srgbClr val="000000">
                  <a:alpha val="63000"/>
                </a:srgbClr>
              </a:outerShdw>
            </a:effectLst>
          </c:spPr>
        </c:marker>
        <c:dLbl>
          <c:idx val="0"/>
          <c:layout>
            <c:manualLayout>
              <c:x val="-1.6203688165711307E-2"/>
              <c:y val="-5.6718297224390965E-2"/>
            </c:manualLayout>
          </c:layout>
          <c:tx>
            <c:rich>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effectLst>
                      <a:outerShdw blurRad="60007" dir="2000400" sy="-30000" kx="-800400" algn="bl" rotWithShape="0">
                        <a:schemeClr val="tx1">
                          <a:alpha val="20000"/>
                        </a:schemeClr>
                      </a:outerShdw>
                    </a:effectLst>
                    <a:latin typeface="+mn-lt"/>
                    <a:ea typeface="+mn-ea"/>
                    <a:cs typeface="+mn-cs"/>
                  </a:defRPr>
                </a:pPr>
                <a:r>
                  <a:rPr lang="en-US"/>
                  <a:t>19</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effectLst>
                    <a:outerShdw blurRad="60007" dir="2000400" sy="-30000" kx="-800400" algn="bl" rotWithShape="0">
                      <a:schemeClr val="tx1">
                        <a:alpha val="20000"/>
                      </a:schemeClr>
                    </a:outerShdw>
                  </a:effectLst>
                  <a:latin typeface="+mn-lt"/>
                  <a:ea typeface="+mn-ea"/>
                  <a:cs typeface="+mn-cs"/>
                </a:defRPr>
              </a:pPr>
              <a:endParaRPr lang="pt-BR"/>
            </a:p>
          </c:txPr>
          <c:showLegendKey val="0"/>
          <c:showVal val="0"/>
          <c:showCatName val="0"/>
          <c:showSerName val="1"/>
          <c:showPercent val="0"/>
          <c:showBubbleSize val="0"/>
          <c:extLst>
            <c:ext xmlns:c15="http://schemas.microsoft.com/office/drawing/2012/chart" uri="{CE6537A1-D6FC-4f65-9D91-7224C49458BB}">
              <c15:showDataLabelsRange val="0"/>
            </c:ext>
          </c:extLst>
        </c:dLbl>
      </c:pivotFmt>
      <c:pivotFmt>
        <c:idx val="205"/>
        <c:spPr>
          <a:ln w="88900" cap="rnd">
            <a:solidFill>
              <a:schemeClr val="accent6">
                <a:lumMod val="20000"/>
                <a:lumOff val="80000"/>
              </a:schemeClr>
            </a:solidFill>
            <a:round/>
          </a:ln>
          <a:effectLst>
            <a:outerShdw blurRad="57150" dist="19050" dir="540000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600" b="1" i="0" u="none" strike="noStrike" kern="1200" baseline="0">
                  <a:solidFill>
                    <a:srgbClr val="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6"/>
        <c:spPr>
          <a:ln w="88900" cap="rnd">
            <a:solidFill>
              <a:schemeClr val="tx1"/>
            </a:solidFill>
            <a:round/>
          </a:ln>
          <a:effectLst>
            <a:outerShdw blurRad="57150" dist="19050" dir="5400000">
              <a:srgbClr val="000000">
                <a:alpha val="63000"/>
              </a:srgbClr>
            </a:outerShdw>
          </a:effectLst>
        </c:spPr>
        <c:marker>
          <c:symbol val="none"/>
        </c:marker>
        <c:dLbl>
          <c:idx val="0"/>
          <c:layout>
            <c:manualLayout>
              <c:x val="-1.3629283489096573E-2"/>
              <c:y val="-7.130124777183601E-2"/>
            </c:manualLayout>
          </c:layout>
          <c:spPr>
            <a:noFill/>
            <a:ln>
              <a:noFill/>
            </a:ln>
            <a:effectLst/>
          </c:spPr>
          <c:txPr>
            <a:bodyPr rot="0" spcFirstLastPara="1" vertOverflow="ellipsis" vert="horz" wrap="square" lIns="38100" tIns="19050" rIns="38100" bIns="19050" anchor="ctr" anchorCtr="1">
              <a:spAutoFit/>
            </a:bodyPr>
            <a:lstStyle/>
            <a:p>
              <a:pPr>
                <a:defRPr sz="2600" b="1" i="0" u="none" strike="noStrike" kern="1200" baseline="0">
                  <a:solidFill>
                    <a:srgbClr val="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7"/>
        <c:spPr>
          <a:ln w="88900" cap="rnd">
            <a:solidFill>
              <a:schemeClr val="accent6">
                <a:lumMod val="20000"/>
                <a:lumOff val="80000"/>
              </a:schemeClr>
            </a:solidFill>
            <a:round/>
          </a:ln>
          <a:effectLst>
            <a:outerShdw blurRad="57150" dist="19050" dir="5400000">
              <a:srgbClr val="000000">
                <a:alpha val="63000"/>
              </a:srgbClr>
            </a:outerShdw>
          </a:effectLst>
        </c:spPr>
        <c:marker>
          <c:symbol val="none"/>
        </c:marker>
        <c:dLbl>
          <c:idx val="0"/>
          <c:layout>
            <c:manualLayout>
              <c:x val="-1.557632398753896E-2"/>
              <c:y val="-6.6844919786096302E-2"/>
            </c:manualLayout>
          </c:layout>
          <c:spPr>
            <a:noFill/>
            <a:ln>
              <a:noFill/>
            </a:ln>
            <a:effectLst/>
          </c:spPr>
          <c:txPr>
            <a:bodyPr rot="0" spcFirstLastPara="1" vertOverflow="ellipsis" vert="horz" wrap="square" lIns="38100" tIns="19050" rIns="38100" bIns="19050" anchor="ctr" anchorCtr="1">
              <a:spAutoFit/>
            </a:bodyPr>
            <a:lstStyle/>
            <a:p>
              <a:pPr>
                <a:defRPr sz="2600" b="1" i="0" u="none" strike="noStrike" kern="1200" baseline="0">
                  <a:solidFill>
                    <a:srgbClr val="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8"/>
        <c:spPr>
          <a:ln w="88900" cap="rnd">
            <a:solidFill>
              <a:schemeClr val="accent6">
                <a:lumMod val="20000"/>
                <a:lumOff val="80000"/>
              </a:schemeClr>
            </a:solidFill>
            <a:round/>
          </a:ln>
          <a:effectLst>
            <a:outerShdw blurRad="57150" dist="19050" dir="5400000" sx="1000" sy="1000">
              <a:srgbClr val="000000">
                <a:alpha val="63000"/>
              </a:srgbClr>
            </a:outerShdw>
          </a:effectLst>
        </c:spPr>
        <c:marker>
          <c:symbol val="none"/>
        </c:marker>
        <c:dLbl>
          <c:idx val="0"/>
          <c:layout>
            <c:manualLayout>
              <c:x val="-6.8146417445482865E-3"/>
              <c:y val="-5.7932263814616754E-2"/>
            </c:manualLayout>
          </c:layout>
          <c:spPr>
            <a:noFill/>
            <a:ln>
              <a:noFill/>
            </a:ln>
            <a:effectLst/>
          </c:spPr>
          <c:txPr>
            <a:bodyPr rot="0" spcFirstLastPara="1" vertOverflow="ellipsis" vert="horz" wrap="square" lIns="38100" tIns="19050" rIns="38100" bIns="19050" anchor="ctr" anchorCtr="1">
              <a:spAutoFit/>
            </a:bodyPr>
            <a:lstStyle/>
            <a:p>
              <a:pPr>
                <a:defRPr sz="2600" b="1" i="0" u="none" strike="noStrike" kern="1200" baseline="0">
                  <a:solidFill>
                    <a:srgbClr val="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9"/>
        <c:spPr>
          <a:ln w="88900" cap="rnd">
            <a:solidFill>
              <a:schemeClr val="accent6">
                <a:lumMod val="20000"/>
                <a:lumOff val="80000"/>
              </a:schemeClr>
            </a:solidFill>
            <a:round/>
          </a:ln>
          <a:effectLst>
            <a:outerShdw blurRad="57150" dist="19050" dir="5400000">
              <a:srgbClr val="000000">
                <a:alpha val="63000"/>
              </a:srgbClr>
            </a:outerShdw>
          </a:effectLst>
        </c:spPr>
        <c:marker>
          <c:symbol val="none"/>
        </c:marker>
        <c:dLbl>
          <c:idx val="0"/>
          <c:layout>
            <c:manualLayout>
              <c:x val="-3.8940809968847734E-3"/>
              <c:y val="-4.9019607843137344E-2"/>
            </c:manualLayout>
          </c:layout>
          <c:spPr>
            <a:noFill/>
            <a:ln>
              <a:noFill/>
            </a:ln>
            <a:effectLst/>
          </c:spPr>
          <c:txPr>
            <a:bodyPr rot="0" spcFirstLastPara="1" vertOverflow="ellipsis" vert="horz" wrap="square" lIns="38100" tIns="19050" rIns="38100" bIns="19050" anchor="ctr" anchorCtr="1">
              <a:spAutoFit/>
            </a:bodyPr>
            <a:lstStyle/>
            <a:p>
              <a:pPr>
                <a:defRPr sz="2600" b="1" i="0" u="none" strike="noStrike" kern="1200" baseline="0">
                  <a:solidFill>
                    <a:srgbClr val="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0"/>
        <c:spPr>
          <a:ln w="88900" cap="rnd">
            <a:solidFill>
              <a:schemeClr val="accent6">
                <a:lumMod val="20000"/>
                <a:lumOff val="80000"/>
              </a:schemeClr>
            </a:solidFill>
            <a:round/>
          </a:ln>
          <a:effectLst>
            <a:outerShdw blurRad="57150" dist="19050" dir="5400000">
              <a:srgbClr val="000000">
                <a:alpha val="63000"/>
              </a:srgbClr>
            </a:outerShdw>
          </a:effectLst>
        </c:spPr>
        <c:marker>
          <c:symbol val="none"/>
        </c:marker>
        <c:dLbl>
          <c:idx val="0"/>
          <c:layout>
            <c:manualLayout>
              <c:x val="-9.7352024922118374E-3"/>
              <c:y val="-7.1301247771836093E-2"/>
            </c:manualLayout>
          </c:layout>
          <c:spPr>
            <a:noFill/>
            <a:ln>
              <a:noFill/>
            </a:ln>
            <a:effectLst/>
          </c:spPr>
          <c:txPr>
            <a:bodyPr rot="0" spcFirstLastPara="1" vertOverflow="ellipsis" vert="horz" wrap="square" lIns="38100" tIns="19050" rIns="38100" bIns="19050" anchor="ctr" anchorCtr="1">
              <a:spAutoFit/>
            </a:bodyPr>
            <a:lstStyle/>
            <a:p>
              <a:pPr>
                <a:defRPr sz="2600" b="1" i="0" u="none" strike="noStrike" kern="1200" baseline="0">
                  <a:solidFill>
                    <a:srgbClr val="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1"/>
        <c:spPr>
          <a:ln w="88900" cap="rnd">
            <a:solidFill>
              <a:schemeClr val="accent6">
                <a:lumMod val="20000"/>
                <a:lumOff val="80000"/>
              </a:schemeClr>
            </a:solidFill>
            <a:round/>
          </a:ln>
          <a:effectLst>
            <a:outerShdw blurRad="57150" dist="19050" dir="5400000">
              <a:srgbClr val="000000">
                <a:alpha val="63000"/>
              </a:srgbClr>
            </a:outerShdw>
          </a:effectLst>
        </c:spPr>
        <c:marker>
          <c:symbol val="none"/>
        </c:marker>
        <c:dLbl>
          <c:idx val="0"/>
          <c:layout>
            <c:manualLayout>
              <c:x val="-1.6549844236760123E-2"/>
              <c:y val="-9.3582887700534759E-2"/>
            </c:manualLayout>
          </c:layout>
          <c:spPr>
            <a:noFill/>
            <a:ln>
              <a:noFill/>
            </a:ln>
            <a:effectLst/>
          </c:spPr>
          <c:txPr>
            <a:bodyPr rot="0" spcFirstLastPara="1" vertOverflow="ellipsis" vert="horz" wrap="square" lIns="38100" tIns="19050" rIns="38100" bIns="19050" anchor="ctr" anchorCtr="1">
              <a:spAutoFit/>
            </a:bodyPr>
            <a:lstStyle/>
            <a:p>
              <a:pPr>
                <a:defRPr sz="2600" b="1" i="0" u="none" strike="noStrike" kern="1200" baseline="0">
                  <a:solidFill>
                    <a:srgbClr val="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2"/>
        <c:spPr>
          <a:ln w="88900" cap="rnd">
            <a:solidFill>
              <a:schemeClr val="accent6">
                <a:lumMod val="20000"/>
                <a:lumOff val="80000"/>
              </a:schemeClr>
            </a:solidFill>
            <a:round/>
          </a:ln>
          <a:effectLst>
            <a:outerShdw blurRad="57150" dist="19050" dir="5400000">
              <a:srgbClr val="000000">
                <a:alpha val="63000"/>
              </a:srgbClr>
            </a:outerShdw>
          </a:effectLst>
        </c:spPr>
        <c:marker>
          <c:symbol val="none"/>
        </c:marker>
        <c:dLbl>
          <c:idx val="0"/>
          <c:layout>
            <c:manualLayout>
              <c:x val="-1.4602803738317757E-2"/>
              <c:y val="-4.9019607843137254E-2"/>
            </c:manualLayout>
          </c:layout>
          <c:spPr>
            <a:noFill/>
            <a:ln>
              <a:noFill/>
            </a:ln>
            <a:effectLst/>
          </c:spPr>
          <c:txPr>
            <a:bodyPr rot="0" spcFirstLastPara="1" vertOverflow="ellipsis" vert="horz" wrap="square" lIns="38100" tIns="19050" rIns="38100" bIns="19050" anchor="ctr" anchorCtr="1">
              <a:spAutoFit/>
            </a:bodyPr>
            <a:lstStyle/>
            <a:p>
              <a:pPr>
                <a:defRPr sz="2600" b="1" i="0" u="none" strike="noStrike" kern="1200" baseline="0">
                  <a:solidFill>
                    <a:srgbClr val="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3"/>
        <c:spPr>
          <a:ln w="88900" cap="rnd">
            <a:solidFill>
              <a:schemeClr val="accent6">
                <a:lumMod val="20000"/>
                <a:lumOff val="80000"/>
              </a:schemeClr>
            </a:solidFill>
            <a:round/>
          </a:ln>
          <a:effectLst>
            <a:outerShdw blurRad="57150" dist="19050" dir="5400000">
              <a:srgbClr val="000000">
                <a:alpha val="63000"/>
              </a:srgbClr>
            </a:outerShdw>
          </a:effectLst>
        </c:spPr>
        <c:marker>
          <c:symbol val="none"/>
        </c:marker>
        <c:dLbl>
          <c:idx val="0"/>
          <c:layout>
            <c:manualLayout>
              <c:x val="-1.1682242990654205E-2"/>
              <c:y val="-5.3475935828877046E-2"/>
            </c:manualLayout>
          </c:layout>
          <c:spPr>
            <a:noFill/>
            <a:ln>
              <a:noFill/>
            </a:ln>
            <a:effectLst/>
          </c:spPr>
          <c:txPr>
            <a:bodyPr rot="0" spcFirstLastPara="1" vertOverflow="ellipsis" vert="horz" wrap="square" lIns="38100" tIns="19050" rIns="38100" bIns="19050" anchor="ctr" anchorCtr="1">
              <a:spAutoFit/>
            </a:bodyPr>
            <a:lstStyle/>
            <a:p>
              <a:pPr>
                <a:defRPr sz="2600" b="1" i="0" u="none" strike="noStrike" kern="1200" baseline="0">
                  <a:solidFill>
                    <a:srgbClr val="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4"/>
        <c:spPr>
          <a:ln w="88900" cap="rnd">
            <a:solidFill>
              <a:schemeClr val="accent6">
                <a:lumMod val="20000"/>
                <a:lumOff val="80000"/>
              </a:schemeClr>
            </a:solidFill>
            <a:round/>
          </a:ln>
          <a:effectLst>
            <a:outerShdw blurRad="57150" dist="19050" dir="5400000">
              <a:srgbClr val="000000">
                <a:alpha val="63000"/>
              </a:srgbClr>
            </a:outerShdw>
          </a:effectLst>
        </c:spPr>
        <c:marker>
          <c:symbol val="none"/>
        </c:marker>
        <c:dLbl>
          <c:idx val="0"/>
          <c:layout>
            <c:manualLayout>
              <c:x val="-1.0708722741433021E-2"/>
              <c:y val="-7.1301247771836093E-2"/>
            </c:manualLayout>
          </c:layout>
          <c:spPr>
            <a:noFill/>
            <a:ln>
              <a:noFill/>
            </a:ln>
            <a:effectLst/>
          </c:spPr>
          <c:txPr>
            <a:bodyPr rot="0" spcFirstLastPara="1" vertOverflow="ellipsis" vert="horz" wrap="square" lIns="38100" tIns="19050" rIns="38100" bIns="19050" anchor="ctr" anchorCtr="1">
              <a:spAutoFit/>
            </a:bodyPr>
            <a:lstStyle/>
            <a:p>
              <a:pPr>
                <a:defRPr sz="2600" b="1" i="0" u="none" strike="noStrike" kern="1200" baseline="0">
                  <a:solidFill>
                    <a:srgbClr val="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5"/>
        <c:spPr>
          <a:ln w="88900" cap="rnd">
            <a:solidFill>
              <a:schemeClr val="accent6">
                <a:lumMod val="20000"/>
                <a:lumOff val="80000"/>
              </a:schemeClr>
            </a:solidFill>
            <a:round/>
          </a:ln>
          <a:effectLst>
            <a:outerShdw blurRad="57150" dist="19050" dir="5400000">
              <a:srgbClr val="000000">
                <a:alpha val="63000"/>
              </a:srgbClr>
            </a:outerShdw>
          </a:effectLst>
        </c:spPr>
        <c:marker>
          <c:symbol val="none"/>
        </c:marker>
        <c:dLbl>
          <c:idx val="0"/>
          <c:layout>
            <c:manualLayout>
              <c:x val="-1.6549844236760123E-2"/>
              <c:y val="-5.7932263814616754E-2"/>
            </c:manualLayout>
          </c:layout>
          <c:spPr>
            <a:noFill/>
            <a:ln>
              <a:noFill/>
            </a:ln>
            <a:effectLst/>
          </c:spPr>
          <c:txPr>
            <a:bodyPr rot="0" spcFirstLastPara="1" vertOverflow="ellipsis" vert="horz" wrap="square" lIns="38100" tIns="19050" rIns="38100" bIns="19050" anchor="ctr" anchorCtr="1">
              <a:spAutoFit/>
            </a:bodyPr>
            <a:lstStyle/>
            <a:p>
              <a:pPr>
                <a:defRPr sz="2600" b="1" i="0" u="none" strike="noStrike" kern="1200" baseline="0">
                  <a:solidFill>
                    <a:srgbClr val="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6"/>
        <c:spPr>
          <a:ln w="88900" cap="rnd">
            <a:solidFill>
              <a:schemeClr val="accent6">
                <a:lumMod val="20000"/>
                <a:lumOff val="80000"/>
              </a:schemeClr>
            </a:solidFill>
            <a:round/>
          </a:ln>
          <a:effectLst>
            <a:outerShdw blurRad="57150" dist="19050" dir="5400000">
              <a:srgbClr val="000000">
                <a:alpha val="63000"/>
              </a:srgbClr>
            </a:outerShdw>
          </a:effectLst>
        </c:spPr>
        <c:marker>
          <c:symbol val="none"/>
        </c:marker>
      </c:pivotFmt>
    </c:pivotFmts>
    <c:plotArea>
      <c:layout>
        <c:manualLayout>
          <c:layoutTarget val="inner"/>
          <c:xMode val="edge"/>
          <c:yMode val="edge"/>
          <c:x val="3.7808923421509842E-2"/>
          <c:y val="0.30090607384778828"/>
          <c:w val="0.95937211449676829"/>
          <c:h val="0.48469658497558138"/>
        </c:manualLayout>
      </c:layout>
      <c:lineChart>
        <c:grouping val="standard"/>
        <c:varyColors val="0"/>
        <c:ser>
          <c:idx val="0"/>
          <c:order val="0"/>
          <c:tx>
            <c:strRef>
              <c:f>PivotTable!$B$3</c:f>
              <c:strCache>
                <c:ptCount val="1"/>
                <c:pt idx="0">
                  <c:v>Total</c:v>
                </c:pt>
              </c:strCache>
            </c:strRef>
          </c:tx>
          <c:spPr>
            <a:ln w="88900" cap="rnd">
              <a:solidFill>
                <a:schemeClr val="accent6">
                  <a:lumMod val="20000"/>
                  <a:lumOff val="80000"/>
                </a:schemeClr>
              </a:solidFill>
              <a:round/>
            </a:ln>
            <a:effectLst>
              <a:outerShdw blurRad="57150" dist="19050" dir="5400000">
                <a:srgbClr val="000000">
                  <a:alpha val="63000"/>
                </a:srgbClr>
              </a:outerShdw>
            </a:effectLst>
          </c:spPr>
          <c:marker>
            <c:symbol val="none"/>
          </c:marker>
          <c:dPt>
            <c:idx val="0"/>
            <c:marker>
              <c:symbol val="none"/>
            </c:marker>
            <c:bubble3D val="0"/>
            <c:spPr>
              <a:ln w="88900" cap="rnd">
                <a:solidFill>
                  <a:schemeClr val="tx1"/>
                </a:solidFill>
                <a:round/>
              </a:ln>
              <a:effectLst>
                <a:outerShdw blurRad="57150" dist="19050" dir="5400000">
                  <a:srgbClr val="000000">
                    <a:alpha val="63000"/>
                  </a:srgbClr>
                </a:outerShdw>
              </a:effectLst>
            </c:spPr>
            <c:extLst>
              <c:ext xmlns:c16="http://schemas.microsoft.com/office/drawing/2014/chart" uri="{C3380CC4-5D6E-409C-BE32-E72D297353CC}">
                <c16:uniqueId val="{00000001-A5AB-4B21-A91A-7969F9F9753B}"/>
              </c:ext>
            </c:extLst>
          </c:dPt>
          <c:dPt>
            <c:idx val="1"/>
            <c:marker>
              <c:symbol val="none"/>
            </c:marker>
            <c:bubble3D val="0"/>
            <c:spPr>
              <a:ln w="88900" cap="rnd">
                <a:solidFill>
                  <a:schemeClr val="accent6">
                    <a:lumMod val="20000"/>
                    <a:lumOff val="80000"/>
                  </a:schemeClr>
                </a:solidFill>
                <a:round/>
              </a:ln>
              <a:effectLst>
                <a:outerShdw blurRad="57150" dist="19050" dir="5400000">
                  <a:srgbClr val="000000">
                    <a:alpha val="63000"/>
                  </a:srgbClr>
                </a:outerShdw>
              </a:effectLst>
            </c:spPr>
            <c:extLst>
              <c:ext xmlns:c16="http://schemas.microsoft.com/office/drawing/2014/chart" uri="{C3380CC4-5D6E-409C-BE32-E72D297353CC}">
                <c16:uniqueId val="{00000003-A5AB-4B21-A91A-7969F9F9753B}"/>
              </c:ext>
            </c:extLst>
          </c:dPt>
          <c:dPt>
            <c:idx val="2"/>
            <c:marker>
              <c:symbol val="none"/>
            </c:marker>
            <c:bubble3D val="0"/>
            <c:spPr>
              <a:ln w="88900" cap="rnd">
                <a:solidFill>
                  <a:schemeClr val="accent6">
                    <a:lumMod val="20000"/>
                    <a:lumOff val="80000"/>
                  </a:schemeClr>
                </a:solidFill>
                <a:round/>
              </a:ln>
              <a:effectLst>
                <a:outerShdw blurRad="57150" dist="19050" dir="5400000" sx="1000" sy="1000">
                  <a:srgbClr val="000000">
                    <a:alpha val="63000"/>
                  </a:srgbClr>
                </a:outerShdw>
              </a:effectLst>
            </c:spPr>
            <c:extLst>
              <c:ext xmlns:c16="http://schemas.microsoft.com/office/drawing/2014/chart" uri="{C3380CC4-5D6E-409C-BE32-E72D297353CC}">
                <c16:uniqueId val="{00000005-A5AB-4B21-A91A-7969F9F9753B}"/>
              </c:ext>
            </c:extLst>
          </c:dPt>
          <c:dPt>
            <c:idx val="3"/>
            <c:marker>
              <c:symbol val="none"/>
            </c:marker>
            <c:bubble3D val="0"/>
            <c:spPr>
              <a:ln w="88900" cap="rnd">
                <a:solidFill>
                  <a:schemeClr val="accent6">
                    <a:lumMod val="20000"/>
                    <a:lumOff val="80000"/>
                  </a:schemeClr>
                </a:solidFill>
                <a:round/>
              </a:ln>
              <a:effectLst>
                <a:outerShdw blurRad="57150" dist="19050" dir="5400000">
                  <a:srgbClr val="000000">
                    <a:alpha val="63000"/>
                  </a:srgbClr>
                </a:outerShdw>
              </a:effectLst>
            </c:spPr>
            <c:extLst>
              <c:ext xmlns:c16="http://schemas.microsoft.com/office/drawing/2014/chart" uri="{C3380CC4-5D6E-409C-BE32-E72D297353CC}">
                <c16:uniqueId val="{00000007-A5AB-4B21-A91A-7969F9F9753B}"/>
              </c:ext>
            </c:extLst>
          </c:dPt>
          <c:dPt>
            <c:idx val="4"/>
            <c:marker>
              <c:symbol val="none"/>
            </c:marker>
            <c:bubble3D val="0"/>
            <c:spPr>
              <a:ln w="88900" cap="rnd">
                <a:solidFill>
                  <a:schemeClr val="accent6">
                    <a:lumMod val="20000"/>
                    <a:lumOff val="80000"/>
                  </a:schemeClr>
                </a:solidFill>
                <a:round/>
              </a:ln>
              <a:effectLst>
                <a:outerShdw blurRad="57150" dist="19050" dir="5400000">
                  <a:srgbClr val="000000">
                    <a:alpha val="63000"/>
                  </a:srgbClr>
                </a:outerShdw>
              </a:effectLst>
            </c:spPr>
            <c:extLst>
              <c:ext xmlns:c16="http://schemas.microsoft.com/office/drawing/2014/chart" uri="{C3380CC4-5D6E-409C-BE32-E72D297353CC}">
                <c16:uniqueId val="{00000009-A5AB-4B21-A91A-7969F9F9753B}"/>
              </c:ext>
            </c:extLst>
          </c:dPt>
          <c:dPt>
            <c:idx val="5"/>
            <c:marker>
              <c:symbol val="none"/>
            </c:marker>
            <c:bubble3D val="0"/>
            <c:spPr>
              <a:ln w="88900" cap="rnd">
                <a:solidFill>
                  <a:schemeClr val="accent6">
                    <a:lumMod val="20000"/>
                    <a:lumOff val="80000"/>
                  </a:schemeClr>
                </a:solidFill>
                <a:round/>
              </a:ln>
              <a:effectLst>
                <a:outerShdw blurRad="57150" dist="19050" dir="5400000">
                  <a:srgbClr val="000000">
                    <a:alpha val="63000"/>
                  </a:srgbClr>
                </a:outerShdw>
              </a:effectLst>
            </c:spPr>
            <c:extLst>
              <c:ext xmlns:c16="http://schemas.microsoft.com/office/drawing/2014/chart" uri="{C3380CC4-5D6E-409C-BE32-E72D297353CC}">
                <c16:uniqueId val="{0000000B-A5AB-4B21-A91A-7969F9F9753B}"/>
              </c:ext>
            </c:extLst>
          </c:dPt>
          <c:dPt>
            <c:idx val="6"/>
            <c:marker>
              <c:symbol val="none"/>
            </c:marker>
            <c:bubble3D val="0"/>
            <c:spPr>
              <a:ln w="88900" cap="rnd">
                <a:solidFill>
                  <a:schemeClr val="accent6">
                    <a:lumMod val="20000"/>
                    <a:lumOff val="80000"/>
                  </a:schemeClr>
                </a:solidFill>
                <a:round/>
              </a:ln>
              <a:effectLst>
                <a:outerShdw blurRad="57150" dist="19050" dir="5400000">
                  <a:srgbClr val="000000">
                    <a:alpha val="63000"/>
                  </a:srgbClr>
                </a:outerShdw>
              </a:effectLst>
            </c:spPr>
            <c:extLst>
              <c:ext xmlns:c16="http://schemas.microsoft.com/office/drawing/2014/chart" uri="{C3380CC4-5D6E-409C-BE32-E72D297353CC}">
                <c16:uniqueId val="{0000000D-A5AB-4B21-A91A-7969F9F9753B}"/>
              </c:ext>
            </c:extLst>
          </c:dPt>
          <c:dPt>
            <c:idx val="7"/>
            <c:marker>
              <c:symbol val="none"/>
            </c:marker>
            <c:bubble3D val="0"/>
            <c:spPr>
              <a:ln w="88900" cap="rnd">
                <a:solidFill>
                  <a:schemeClr val="accent6">
                    <a:lumMod val="20000"/>
                    <a:lumOff val="80000"/>
                  </a:schemeClr>
                </a:solidFill>
                <a:round/>
              </a:ln>
              <a:effectLst>
                <a:outerShdw blurRad="57150" dist="19050" dir="5400000">
                  <a:srgbClr val="000000">
                    <a:alpha val="63000"/>
                  </a:srgbClr>
                </a:outerShdw>
              </a:effectLst>
            </c:spPr>
            <c:extLst>
              <c:ext xmlns:c16="http://schemas.microsoft.com/office/drawing/2014/chart" uri="{C3380CC4-5D6E-409C-BE32-E72D297353CC}">
                <c16:uniqueId val="{0000000F-A5AB-4B21-A91A-7969F9F9753B}"/>
              </c:ext>
            </c:extLst>
          </c:dPt>
          <c:dPt>
            <c:idx val="8"/>
            <c:marker>
              <c:symbol val="none"/>
            </c:marker>
            <c:bubble3D val="0"/>
            <c:spPr>
              <a:ln w="88900" cap="rnd">
                <a:solidFill>
                  <a:schemeClr val="accent6">
                    <a:lumMod val="20000"/>
                    <a:lumOff val="80000"/>
                  </a:schemeClr>
                </a:solidFill>
                <a:round/>
              </a:ln>
              <a:effectLst>
                <a:outerShdw blurRad="57150" dist="19050" dir="5400000">
                  <a:srgbClr val="000000">
                    <a:alpha val="63000"/>
                  </a:srgbClr>
                </a:outerShdw>
              </a:effectLst>
            </c:spPr>
            <c:extLst>
              <c:ext xmlns:c16="http://schemas.microsoft.com/office/drawing/2014/chart" uri="{C3380CC4-5D6E-409C-BE32-E72D297353CC}">
                <c16:uniqueId val="{00000011-A5AB-4B21-A91A-7969F9F9753B}"/>
              </c:ext>
            </c:extLst>
          </c:dPt>
          <c:dPt>
            <c:idx val="9"/>
            <c:marker>
              <c:symbol val="none"/>
            </c:marker>
            <c:bubble3D val="0"/>
            <c:spPr>
              <a:ln w="88900" cap="rnd">
                <a:solidFill>
                  <a:schemeClr val="accent6">
                    <a:lumMod val="20000"/>
                    <a:lumOff val="80000"/>
                  </a:schemeClr>
                </a:solidFill>
                <a:round/>
              </a:ln>
              <a:effectLst>
                <a:outerShdw blurRad="57150" dist="19050" dir="5400000">
                  <a:srgbClr val="000000">
                    <a:alpha val="63000"/>
                  </a:srgbClr>
                </a:outerShdw>
              </a:effectLst>
            </c:spPr>
            <c:extLst>
              <c:ext xmlns:c16="http://schemas.microsoft.com/office/drawing/2014/chart" uri="{C3380CC4-5D6E-409C-BE32-E72D297353CC}">
                <c16:uniqueId val="{00000013-A5AB-4B21-A91A-7969F9F9753B}"/>
              </c:ext>
            </c:extLst>
          </c:dPt>
          <c:dPt>
            <c:idx val="11"/>
            <c:marker>
              <c:symbol val="none"/>
            </c:marker>
            <c:bubble3D val="0"/>
            <c:spPr>
              <a:ln w="88900" cap="rnd">
                <a:solidFill>
                  <a:schemeClr val="accent6">
                    <a:lumMod val="20000"/>
                    <a:lumOff val="80000"/>
                  </a:schemeClr>
                </a:solidFill>
                <a:round/>
              </a:ln>
              <a:effectLst>
                <a:outerShdw blurRad="57150" dist="19050" dir="5400000">
                  <a:srgbClr val="000000">
                    <a:alpha val="63000"/>
                  </a:srgbClr>
                </a:outerShdw>
              </a:effectLst>
            </c:spPr>
            <c:extLst>
              <c:ext xmlns:c16="http://schemas.microsoft.com/office/drawing/2014/chart" uri="{C3380CC4-5D6E-409C-BE32-E72D297353CC}">
                <c16:uniqueId val="{00000015-A5AB-4B21-A91A-7969F9F9753B}"/>
              </c:ext>
            </c:extLst>
          </c:dPt>
          <c:dLbls>
            <c:dLbl>
              <c:idx val="0"/>
              <c:layout>
                <c:manualLayout>
                  <c:x val="-1.3629283489096573E-2"/>
                  <c:y val="-7.13012477718360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5AB-4B21-A91A-7969F9F9753B}"/>
                </c:ext>
              </c:extLst>
            </c:dLbl>
            <c:dLbl>
              <c:idx val="1"/>
              <c:layout>
                <c:manualLayout>
                  <c:x val="-1.557632398753896E-2"/>
                  <c:y val="-6.684491978609630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5AB-4B21-A91A-7969F9F9753B}"/>
                </c:ext>
              </c:extLst>
            </c:dLbl>
            <c:dLbl>
              <c:idx val="2"/>
              <c:layout>
                <c:manualLayout>
                  <c:x val="-6.8146417445482865E-3"/>
                  <c:y val="-5.793226381461675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5AB-4B21-A91A-7969F9F9753B}"/>
                </c:ext>
              </c:extLst>
            </c:dLbl>
            <c:dLbl>
              <c:idx val="3"/>
              <c:layout>
                <c:manualLayout>
                  <c:x val="-3.8940809968847734E-3"/>
                  <c:y val="-4.901960784313734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5AB-4B21-A91A-7969F9F9753B}"/>
                </c:ext>
              </c:extLst>
            </c:dLbl>
            <c:dLbl>
              <c:idx val="4"/>
              <c:layout>
                <c:manualLayout>
                  <c:x val="-9.7352024922118374E-3"/>
                  <c:y val="-7.130124777183609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A5AB-4B21-A91A-7969F9F9753B}"/>
                </c:ext>
              </c:extLst>
            </c:dLbl>
            <c:dLbl>
              <c:idx val="5"/>
              <c:layout>
                <c:manualLayout>
                  <c:x val="-1.6549844236760123E-2"/>
                  <c:y val="-9.358288770053475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A5AB-4B21-A91A-7969F9F9753B}"/>
                </c:ext>
              </c:extLst>
            </c:dLbl>
            <c:dLbl>
              <c:idx val="6"/>
              <c:layout>
                <c:manualLayout>
                  <c:x val="-1.4602803738317757E-2"/>
                  <c:y val="-4.901960784313725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A5AB-4B21-A91A-7969F9F9753B}"/>
                </c:ext>
              </c:extLst>
            </c:dLbl>
            <c:dLbl>
              <c:idx val="7"/>
              <c:layout>
                <c:manualLayout>
                  <c:x val="-1.1682242990654205E-2"/>
                  <c:y val="-5.347593582887704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A5AB-4B21-A91A-7969F9F9753B}"/>
                </c:ext>
              </c:extLst>
            </c:dLbl>
            <c:dLbl>
              <c:idx val="8"/>
              <c:layout>
                <c:manualLayout>
                  <c:x val="-1.0708722741433021E-2"/>
                  <c:y val="-7.130124777183609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A5AB-4B21-A91A-7969F9F9753B}"/>
                </c:ext>
              </c:extLst>
            </c:dLbl>
            <c:dLbl>
              <c:idx val="9"/>
              <c:layout>
                <c:manualLayout>
                  <c:x val="-1.6549844236760123E-2"/>
                  <c:y val="-5.793226381461675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A5AB-4B21-A91A-7969F9F9753B}"/>
                </c:ext>
              </c:extLst>
            </c:dLbl>
            <c:spPr>
              <a:noFill/>
              <a:ln>
                <a:noFill/>
              </a:ln>
              <a:effectLst/>
            </c:spPr>
            <c:txPr>
              <a:bodyPr rot="0" spcFirstLastPara="1" vertOverflow="ellipsis" vert="horz" wrap="square" lIns="38100" tIns="19050" rIns="38100" bIns="19050" anchor="ctr" anchorCtr="1">
                <a:spAutoFit/>
              </a:bodyPr>
              <a:lstStyle/>
              <a:p>
                <a:pPr>
                  <a:defRPr sz="2600" b="1" i="0" u="none" strike="noStrike" kern="1200" baseline="0">
                    <a:solidFill>
                      <a:srgbClr val="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PivotTable!$A$4:$A$16</c:f>
              <c:strCache>
                <c:ptCount val="12"/>
                <c:pt idx="0">
                  <c:v>Janeiro</c:v>
                </c:pt>
                <c:pt idx="1">
                  <c:v>Fevereiro</c:v>
                </c:pt>
                <c:pt idx="2">
                  <c:v>Março</c:v>
                </c:pt>
                <c:pt idx="3">
                  <c:v>Abril</c:v>
                </c:pt>
                <c:pt idx="4">
                  <c:v>Maio</c:v>
                </c:pt>
                <c:pt idx="5">
                  <c:v>Junho</c:v>
                </c:pt>
                <c:pt idx="6">
                  <c:v>Julho</c:v>
                </c:pt>
                <c:pt idx="7">
                  <c:v>Agosto</c:v>
                </c:pt>
                <c:pt idx="8">
                  <c:v>Setembro</c:v>
                </c:pt>
                <c:pt idx="9">
                  <c:v>Outubro</c:v>
                </c:pt>
                <c:pt idx="10">
                  <c:v>Novembro</c:v>
                </c:pt>
                <c:pt idx="11">
                  <c:v>Dezembro</c:v>
                </c:pt>
              </c:strCache>
            </c:strRef>
          </c:cat>
          <c:val>
            <c:numRef>
              <c:f>PivotTable!$B$4:$B$16</c:f>
              <c:numCache>
                <c:formatCode>General</c:formatCode>
                <c:ptCount val="12"/>
                <c:pt idx="0">
                  <c:v>16</c:v>
                </c:pt>
                <c:pt idx="1">
                  <c:v>21</c:v>
                </c:pt>
                <c:pt idx="2">
                  <c:v>22</c:v>
                </c:pt>
                <c:pt idx="3">
                  <c:v>20</c:v>
                </c:pt>
                <c:pt idx="4">
                  <c:v>15</c:v>
                </c:pt>
                <c:pt idx="5">
                  <c:v>13</c:v>
                </c:pt>
                <c:pt idx="6">
                  <c:v>28</c:v>
                </c:pt>
                <c:pt idx="7">
                  <c:v>26</c:v>
                </c:pt>
                <c:pt idx="8">
                  <c:v>15</c:v>
                </c:pt>
                <c:pt idx="9">
                  <c:v>13</c:v>
                </c:pt>
                <c:pt idx="10">
                  <c:v>32</c:v>
                </c:pt>
                <c:pt idx="11">
                  <c:v>19</c:v>
                </c:pt>
              </c:numCache>
            </c:numRef>
          </c:val>
          <c:smooth val="0"/>
          <c:extLst>
            <c:ext xmlns:c16="http://schemas.microsoft.com/office/drawing/2014/chart" uri="{C3380CC4-5D6E-409C-BE32-E72D297353CC}">
              <c16:uniqueId val="{00000016-A5AB-4B21-A91A-7969F9F9753B}"/>
            </c:ext>
          </c:extLst>
        </c:ser>
        <c:dLbls>
          <c:showLegendKey val="0"/>
          <c:showVal val="1"/>
          <c:showCatName val="0"/>
          <c:showSerName val="0"/>
          <c:showPercent val="0"/>
          <c:showBubbleSize val="0"/>
        </c:dLbls>
        <c:smooth val="0"/>
        <c:axId val="984772879"/>
        <c:axId val="984774319"/>
      </c:lineChart>
      <c:catAx>
        <c:axId val="984772879"/>
        <c:scaling>
          <c:orientation val="minMax"/>
        </c:scaling>
        <c:delete val="0"/>
        <c:axPos val="b"/>
        <c:numFmt formatCode="General" sourceLinked="1"/>
        <c:majorTickMark val="none"/>
        <c:minorTickMark val="none"/>
        <c:tickLblPos val="nextTo"/>
        <c:spPr>
          <a:noFill/>
          <a:ln w="12700" cap="flat" cmpd="sng" algn="ctr">
            <a:noFill/>
            <a:round/>
          </a:ln>
          <a:effectLst/>
        </c:spPr>
        <c:txPr>
          <a:bodyPr rot="-60000000" spcFirstLastPara="1" vertOverflow="ellipsis" vert="horz" wrap="square" anchor="ctr" anchorCtr="1"/>
          <a:lstStyle/>
          <a:p>
            <a:pPr>
              <a:defRPr sz="2600" b="1" i="0" u="none" strike="noStrike" kern="1200" baseline="0">
                <a:solidFill>
                  <a:srgbClr val="000000"/>
                </a:solidFill>
                <a:latin typeface="+mn-lt"/>
                <a:ea typeface="+mn-ea"/>
                <a:cs typeface="+mn-cs"/>
              </a:defRPr>
            </a:pPr>
            <a:endParaRPr lang="pt-BR"/>
          </a:p>
        </c:txPr>
        <c:crossAx val="984774319"/>
        <c:crosses val="autoZero"/>
        <c:auto val="1"/>
        <c:lblAlgn val="ctr"/>
        <c:lblOffset val="100"/>
        <c:noMultiLvlLbl val="0"/>
      </c:catAx>
      <c:valAx>
        <c:axId val="984774319"/>
        <c:scaling>
          <c:orientation val="minMax"/>
        </c:scaling>
        <c:delete val="1"/>
        <c:axPos val="l"/>
        <c:numFmt formatCode="General" sourceLinked="1"/>
        <c:majorTickMark val="in"/>
        <c:minorTickMark val="none"/>
        <c:tickLblPos val="nextTo"/>
        <c:crossAx val="984772879"/>
        <c:crosses val="autoZero"/>
        <c:crossBetween val="between"/>
      </c:valAx>
      <c:spPr>
        <a:noFill/>
        <a:ln w="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[Dashboard.xlsx]PivotTable!Tabela dinâmica10</c:name>
    <c:fmtId val="8"/>
  </c:pivotSource>
  <c:chart>
    <c:autoTitleDeleted val="1"/>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757480962608885"/>
          <c:y val="5.3346046774401877E-2"/>
          <c:w val="0.73648471524949988"/>
          <c:h val="0.85504340667014611"/>
        </c:manualLayout>
      </c:layout>
      <c:barChart>
        <c:barDir val="bar"/>
        <c:grouping val="clustered"/>
        <c:varyColors val="0"/>
        <c:ser>
          <c:idx val="0"/>
          <c:order val="0"/>
          <c:tx>
            <c:strRef>
              <c:f>PivotTable!$B$20</c:f>
              <c:strCache>
                <c:ptCount val="1"/>
                <c:pt idx="0">
                  <c:v>Total</c:v>
                </c:pt>
              </c:strCache>
            </c:strRef>
          </c:tx>
          <c:spPr>
            <a:solidFill>
              <a:schemeClr val="accent6"/>
            </a:solidFill>
            <a:ln>
              <a:noFill/>
            </a:ln>
            <a:effectLst/>
          </c:spPr>
          <c:invertIfNegative val="0"/>
          <c:cat>
            <c:strRef>
              <c:f>PivotTable!$A$21:$A$32</c:f>
              <c:strCache>
                <c:ptCount val="12"/>
                <c:pt idx="0">
                  <c:v>Acesso à informação</c:v>
                </c:pt>
                <c:pt idx="1">
                  <c:v>Agilidade de resposta</c:v>
                </c:pt>
                <c:pt idx="2">
                  <c:v>Áreas protegidas</c:v>
                </c:pt>
                <c:pt idx="3">
                  <c:v>Atendimento ao cidadão</c:v>
                </c:pt>
                <c:pt idx="4">
                  <c:v>Competência de outro órgão</c:v>
                </c:pt>
                <c:pt idx="5">
                  <c:v>Desmatamento</c:v>
                </c:pt>
                <c:pt idx="6">
                  <c:v>Educação ambiental</c:v>
                </c:pt>
                <c:pt idx="7">
                  <c:v>Fiscalização ambiental</c:v>
                </c:pt>
                <c:pt idx="8">
                  <c:v>Licenciamento ambiental</c:v>
                </c:pt>
                <c:pt idx="9">
                  <c:v>Processo administrativo</c:v>
                </c:pt>
                <c:pt idx="10">
                  <c:v>Queimada</c:v>
                </c:pt>
                <c:pt idx="11">
                  <c:v>Resíduos sólidos</c:v>
                </c:pt>
              </c:strCache>
            </c:strRef>
          </c:cat>
          <c:val>
            <c:numRef>
              <c:f>PivotTable!$B$21:$B$32</c:f>
              <c:numCache>
                <c:formatCode>General</c:formatCode>
                <c:ptCount val="12"/>
                <c:pt idx="0">
                  <c:v>16</c:v>
                </c:pt>
                <c:pt idx="1">
                  <c:v>8</c:v>
                </c:pt>
                <c:pt idx="2">
                  <c:v>24</c:v>
                </c:pt>
                <c:pt idx="3">
                  <c:v>17</c:v>
                </c:pt>
                <c:pt idx="4">
                  <c:v>6</c:v>
                </c:pt>
                <c:pt idx="5">
                  <c:v>28</c:v>
                </c:pt>
                <c:pt idx="6">
                  <c:v>14</c:v>
                </c:pt>
                <c:pt idx="7">
                  <c:v>33</c:v>
                </c:pt>
                <c:pt idx="8">
                  <c:v>28</c:v>
                </c:pt>
                <c:pt idx="9">
                  <c:v>14</c:v>
                </c:pt>
                <c:pt idx="10">
                  <c:v>24</c:v>
                </c:pt>
                <c:pt idx="11">
                  <c:v>28</c:v>
                </c:pt>
              </c:numCache>
            </c:numRef>
          </c:val>
          <c:extLst>
            <c:ext xmlns:c16="http://schemas.microsoft.com/office/drawing/2014/chart" uri="{C3380CC4-5D6E-409C-BE32-E72D297353CC}">
              <c16:uniqueId val="{00000003-0442-492C-91FD-D268642B2111}"/>
            </c:ext>
          </c:extLst>
        </c:ser>
        <c:dLbls>
          <c:showLegendKey val="0"/>
          <c:showVal val="0"/>
          <c:showCatName val="0"/>
          <c:showSerName val="0"/>
          <c:showPercent val="0"/>
          <c:showBubbleSize val="0"/>
        </c:dLbls>
        <c:gapWidth val="182"/>
        <c:axId val="1303216463"/>
        <c:axId val="1303210703"/>
      </c:barChart>
      <c:catAx>
        <c:axId val="1303216463"/>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pt-BR"/>
          </a:p>
        </c:txPr>
        <c:crossAx val="1303210703"/>
        <c:crosses val="autoZero"/>
        <c:auto val="1"/>
        <c:lblAlgn val="ctr"/>
        <c:lblOffset val="100"/>
        <c:noMultiLvlLbl val="0"/>
      </c:catAx>
      <c:valAx>
        <c:axId val="130321070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pt-BR"/>
          </a:p>
        </c:txPr>
        <c:crossAx val="13032164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3175" cap="flat" cmpd="sng" algn="ctr">
      <a:no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[Dashboard.xlsx]PivotTable!Tabela dinâmica11</c:name>
    <c:fmtId val="10"/>
  </c:pivotSource>
  <c:chart>
    <c:autoTitleDeleted val="1"/>
    <c:pivotFmts>
      <c:pivotFmt>
        <c:idx val="0"/>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pivotFmt>
      <c:pivotFmt>
        <c:idx val="6"/>
      </c:pivotFmt>
      <c:pivotFmt>
        <c:idx val="7"/>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8"/>
      </c:pivotFmt>
      <c:pivotFmt>
        <c:idx val="9"/>
      </c:pivotFmt>
      <c:pivotFmt>
        <c:idx val="10"/>
      </c:pivotFmt>
      <c:pivotFmt>
        <c:idx val="11"/>
      </c:pivotFmt>
      <c:pivotFmt>
        <c:idx val="12"/>
      </c:pivotFmt>
      <c:pivotFmt>
        <c:idx val="13"/>
      </c:pivotFmt>
      <c:pivotFmt>
        <c:idx val="1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solidFill>
                  <a:latin typeface="+mn-lt"/>
                  <a:ea typeface="+mn-ea"/>
                  <a:cs typeface="+mn-cs"/>
                </a:defRPr>
              </a:pPr>
              <a:endParaRPr lang="pt-BR"/>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solidFill>
          <a:ln>
            <a:noFill/>
          </a:ln>
          <a:effectLst/>
        </c:spPr>
      </c:pivotFmt>
      <c:pivotFmt>
        <c:idx val="16"/>
        <c:spPr>
          <a:solidFill>
            <a:schemeClr val="accent6"/>
          </a:solidFill>
          <a:ln>
            <a:noFill/>
          </a:ln>
          <a:effectLst/>
        </c:spPr>
      </c:pivotFmt>
      <c:pivotFmt>
        <c:idx val="17"/>
        <c:spPr>
          <a:solidFill>
            <a:schemeClr val="accent6"/>
          </a:solidFill>
          <a:ln>
            <a:noFill/>
          </a:ln>
          <a:effectLst/>
        </c:spPr>
      </c:pivotFmt>
      <c:pivotFmt>
        <c:idx val="18"/>
        <c:spPr>
          <a:solidFill>
            <a:schemeClr val="accent6"/>
          </a:solidFill>
          <a:ln>
            <a:noFill/>
          </a:ln>
          <a:effectLst/>
        </c:spPr>
      </c:pivotFmt>
      <c:pivotFmt>
        <c:idx val="19"/>
        <c:spPr>
          <a:solidFill>
            <a:schemeClr val="accent6"/>
          </a:solidFill>
          <a:ln>
            <a:noFill/>
          </a:ln>
          <a:effectLst/>
        </c:spPr>
      </c:pivotFmt>
      <c:pivotFmt>
        <c:idx val="20"/>
        <c:spPr>
          <a:solidFill>
            <a:schemeClr val="accent6"/>
          </a:solidFill>
          <a:ln>
            <a:noFill/>
          </a:ln>
          <a:effectLst/>
        </c:spPr>
      </c:pivotFmt>
    </c:pivotFmts>
    <c:plotArea>
      <c:layout/>
      <c:barChart>
        <c:barDir val="col"/>
        <c:grouping val="stacked"/>
        <c:varyColors val="0"/>
        <c:ser>
          <c:idx val="0"/>
          <c:order val="0"/>
          <c:tx>
            <c:strRef>
              <c:f>PivotTable!$B$40</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PivotTable!$A$41:$A$46</c:f>
              <c:strCache>
                <c:ptCount val="6"/>
                <c:pt idx="0">
                  <c:v>Denúncia</c:v>
                </c:pt>
                <c:pt idx="1">
                  <c:v>Elogio</c:v>
                </c:pt>
                <c:pt idx="2">
                  <c:v>Pedido de Informação</c:v>
                </c:pt>
                <c:pt idx="3">
                  <c:v>Reclamação</c:v>
                </c:pt>
                <c:pt idx="4">
                  <c:v>Solicitação</c:v>
                </c:pt>
                <c:pt idx="5">
                  <c:v>Sugestão</c:v>
                </c:pt>
              </c:strCache>
            </c:strRef>
          </c:cat>
          <c:val>
            <c:numRef>
              <c:f>PivotTable!$B$41:$B$46</c:f>
              <c:numCache>
                <c:formatCode>General</c:formatCode>
                <c:ptCount val="6"/>
                <c:pt idx="0">
                  <c:v>32</c:v>
                </c:pt>
                <c:pt idx="1">
                  <c:v>35</c:v>
                </c:pt>
                <c:pt idx="2">
                  <c:v>35</c:v>
                </c:pt>
                <c:pt idx="3">
                  <c:v>52</c:v>
                </c:pt>
                <c:pt idx="4">
                  <c:v>65</c:v>
                </c:pt>
                <c:pt idx="5">
                  <c:v>21</c:v>
                </c:pt>
              </c:numCache>
            </c:numRef>
          </c:val>
          <c:extLst>
            <c:ext xmlns:c16="http://schemas.microsoft.com/office/drawing/2014/chart" uri="{C3380CC4-5D6E-409C-BE32-E72D297353CC}">
              <c16:uniqueId val="{00000003-76EF-4BB5-83DA-20133451ED0B}"/>
            </c:ext>
          </c:extLst>
        </c:ser>
        <c:dLbls>
          <c:showLegendKey val="0"/>
          <c:showVal val="1"/>
          <c:showCatName val="0"/>
          <c:showSerName val="0"/>
          <c:showPercent val="0"/>
          <c:showBubbleSize val="0"/>
        </c:dLbls>
        <c:gapWidth val="75"/>
        <c:overlap val="100"/>
        <c:axId val="789665151"/>
        <c:axId val="789665631"/>
      </c:barChart>
      <c:catAx>
        <c:axId val="7896651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pt-BR"/>
          </a:p>
        </c:txPr>
        <c:crossAx val="789665631"/>
        <c:crosses val="autoZero"/>
        <c:auto val="1"/>
        <c:lblAlgn val="ctr"/>
        <c:lblOffset val="100"/>
        <c:noMultiLvlLbl val="0"/>
      </c:catAx>
      <c:valAx>
        <c:axId val="78966563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rgbClr val="000000"/>
                </a:solidFill>
                <a:latin typeface="+mn-lt"/>
                <a:ea typeface="+mn-ea"/>
                <a:cs typeface="+mn-cs"/>
              </a:defRPr>
            </a:pPr>
            <a:endParaRPr lang="pt-BR"/>
          </a:p>
        </c:txPr>
        <c:crossAx val="7896651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[Dashboard.xlsx]PivotTable!Tabela dinâmica12</c:name>
    <c:fmtId val="12"/>
  </c:pivotSource>
  <c:chart>
    <c:autoTitleDeleted val="1"/>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rgbClr val="000000"/>
                  </a:solidFill>
                  <a:latin typeface="+mn-lt"/>
                  <a:ea typeface="+mn-ea"/>
                  <a:cs typeface="+mn-cs"/>
                </a:defRPr>
              </a:pPr>
              <a:endParaRPr lang="pt-BR"/>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2074878257225869E-2"/>
          <c:y val="9.4132942015059104E-2"/>
          <c:w val="0.94708223394945568"/>
          <c:h val="0.90496362664787255"/>
        </c:manualLayout>
      </c:layout>
      <c:barChart>
        <c:barDir val="bar"/>
        <c:grouping val="clustered"/>
        <c:varyColors val="0"/>
        <c:ser>
          <c:idx val="0"/>
          <c:order val="0"/>
          <c:tx>
            <c:strRef>
              <c:f>PivotTable!$B$62</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rgbClr val="000000"/>
                    </a:solidFill>
                    <a:latin typeface="+mn-lt"/>
                    <a:ea typeface="+mn-ea"/>
                    <a:cs typeface="+mn-cs"/>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PivotTable!$A$63:$A$75</c:f>
              <c:strCache>
                <c:ptCount val="13"/>
                <c:pt idx="0">
                  <c:v>AC</c:v>
                </c:pt>
                <c:pt idx="1">
                  <c:v>AM</c:v>
                </c:pt>
                <c:pt idx="2">
                  <c:v>DF</c:v>
                </c:pt>
                <c:pt idx="3">
                  <c:v>GO</c:v>
                </c:pt>
                <c:pt idx="4">
                  <c:v>MA</c:v>
                </c:pt>
                <c:pt idx="5">
                  <c:v>MG</c:v>
                </c:pt>
                <c:pt idx="6">
                  <c:v>MT</c:v>
                </c:pt>
                <c:pt idx="7">
                  <c:v>PA</c:v>
                </c:pt>
                <c:pt idx="8">
                  <c:v>RJ</c:v>
                </c:pt>
                <c:pt idx="9">
                  <c:v>RO</c:v>
                </c:pt>
                <c:pt idx="10">
                  <c:v>RR</c:v>
                </c:pt>
                <c:pt idx="11">
                  <c:v>SP</c:v>
                </c:pt>
                <c:pt idx="12">
                  <c:v>TO</c:v>
                </c:pt>
              </c:strCache>
            </c:strRef>
          </c:cat>
          <c:val>
            <c:numRef>
              <c:f>PivotTable!$B$63:$B$75</c:f>
              <c:numCache>
                <c:formatCode>General</c:formatCode>
                <c:ptCount val="13"/>
                <c:pt idx="0">
                  <c:v>6</c:v>
                </c:pt>
                <c:pt idx="1">
                  <c:v>42</c:v>
                </c:pt>
                <c:pt idx="2">
                  <c:v>47</c:v>
                </c:pt>
                <c:pt idx="3">
                  <c:v>14</c:v>
                </c:pt>
                <c:pt idx="4">
                  <c:v>8</c:v>
                </c:pt>
                <c:pt idx="5">
                  <c:v>15</c:v>
                </c:pt>
                <c:pt idx="6">
                  <c:v>18</c:v>
                </c:pt>
                <c:pt idx="7">
                  <c:v>32</c:v>
                </c:pt>
                <c:pt idx="8">
                  <c:v>8</c:v>
                </c:pt>
                <c:pt idx="9">
                  <c:v>18</c:v>
                </c:pt>
                <c:pt idx="10">
                  <c:v>8</c:v>
                </c:pt>
                <c:pt idx="11">
                  <c:v>12</c:v>
                </c:pt>
                <c:pt idx="12">
                  <c:v>12</c:v>
                </c:pt>
              </c:numCache>
            </c:numRef>
          </c:val>
          <c:extLst>
            <c:ext xmlns:c16="http://schemas.microsoft.com/office/drawing/2014/chart" uri="{C3380CC4-5D6E-409C-BE32-E72D297353CC}">
              <c16:uniqueId val="{00000003-14C7-49DA-BA8D-F67B59478B10}"/>
            </c:ext>
          </c:extLst>
        </c:ser>
        <c:dLbls>
          <c:dLblPos val="outEnd"/>
          <c:showLegendKey val="0"/>
          <c:showVal val="1"/>
          <c:showCatName val="0"/>
          <c:showSerName val="0"/>
          <c:showPercent val="0"/>
          <c:showBubbleSize val="0"/>
        </c:dLbls>
        <c:gapWidth val="75"/>
        <c:overlap val="40"/>
        <c:axId val="1303220783"/>
        <c:axId val="1303225583"/>
      </c:barChart>
      <c:catAx>
        <c:axId val="1303220783"/>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pt-BR"/>
          </a:p>
        </c:txPr>
        <c:crossAx val="1303225583"/>
        <c:crosses val="autoZero"/>
        <c:auto val="1"/>
        <c:lblAlgn val="ctr"/>
        <c:lblOffset val="100"/>
        <c:noMultiLvlLbl val="0"/>
      </c:catAx>
      <c:valAx>
        <c:axId val="1303225583"/>
        <c:scaling>
          <c:orientation val="minMax"/>
        </c:scaling>
        <c:delete val="1"/>
        <c:axPos val="b"/>
        <c:numFmt formatCode="General" sourceLinked="1"/>
        <c:majorTickMark val="none"/>
        <c:minorTickMark val="none"/>
        <c:tickLblPos val="nextTo"/>
        <c:crossAx val="1303220783"/>
        <c:crosses val="autoZero"/>
        <c:crossBetween val="between"/>
      </c:valAx>
      <c:spPr>
        <a:solidFill>
          <a:srgbClr val="2E7D32"/>
        </a:solidFill>
        <a:ln w="3175">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[Dashboard.xlsx]PivotTable!Tabela dinâmica17</c:name>
    <c:fmtId val="13"/>
  </c:pivotSource>
  <c:chart>
    <c:autoTitleDeleted val="1"/>
    <c:pivotFmts>
      <c:pivotFmt>
        <c:idx val="0"/>
        <c:spPr>
          <a:solidFill>
            <a:schemeClr val="accent6"/>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pt-BR"/>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6">
              <a:tint val="54000"/>
            </a:schemeClr>
          </a:solidFill>
          <a:ln>
            <a:noFill/>
          </a:ln>
          <a:effectLst>
            <a:outerShdw blurRad="317500" algn="ctr" rotWithShape="0">
              <a:prstClr val="black">
                <a:alpha val="25000"/>
              </a:prstClr>
            </a:outerShdw>
          </a:effectLst>
        </c:spPr>
      </c:pivotFmt>
      <c:pivotFmt>
        <c:idx val="2"/>
        <c:spPr>
          <a:solidFill>
            <a:schemeClr val="accent6">
              <a:tint val="77000"/>
            </a:schemeClr>
          </a:solidFill>
          <a:ln>
            <a:noFill/>
          </a:ln>
          <a:effectLst>
            <a:outerShdw blurRad="317500" algn="ctr" rotWithShape="0">
              <a:prstClr val="black">
                <a:alpha val="25000"/>
              </a:prstClr>
            </a:outerShdw>
          </a:effectLst>
        </c:spPr>
      </c:pivotFmt>
      <c:pivotFmt>
        <c:idx val="3"/>
        <c:spPr>
          <a:solidFill>
            <a:schemeClr val="accent6"/>
          </a:solidFill>
          <a:ln>
            <a:noFill/>
          </a:ln>
          <a:effectLst>
            <a:outerShdw blurRad="317500" algn="ctr" rotWithShape="0">
              <a:prstClr val="black">
                <a:alpha val="25000"/>
              </a:prstClr>
            </a:outerShdw>
          </a:effectLst>
        </c:spPr>
      </c:pivotFmt>
      <c:pivotFmt>
        <c:idx val="4"/>
        <c:spPr>
          <a:solidFill>
            <a:schemeClr val="accent6">
              <a:shade val="76000"/>
            </a:schemeClr>
          </a:solidFill>
          <a:ln>
            <a:noFill/>
          </a:ln>
          <a:effectLst>
            <a:outerShdw blurRad="317500" algn="ctr" rotWithShape="0">
              <a:prstClr val="black">
                <a:alpha val="25000"/>
              </a:prstClr>
            </a:outerShdw>
          </a:effectLst>
        </c:spPr>
      </c:pivotFmt>
      <c:pivotFmt>
        <c:idx val="5"/>
        <c:spPr>
          <a:solidFill>
            <a:schemeClr val="accent6">
              <a:shade val="53000"/>
            </a:schemeClr>
          </a:solidFill>
          <a:ln>
            <a:noFill/>
          </a:ln>
          <a:effectLst>
            <a:outerShdw blurRad="317500" algn="ctr" rotWithShape="0">
              <a:prstClr val="black">
                <a:alpha val="25000"/>
              </a:prstClr>
            </a:outerShdw>
          </a:effectLst>
        </c:spPr>
      </c:pivotFmt>
      <c:pivotFmt>
        <c:idx val="6"/>
        <c:spPr>
          <a:solidFill>
            <a:schemeClr val="accent6"/>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pt-BR"/>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6">
              <a:tint val="54000"/>
            </a:schemeClr>
          </a:solidFill>
          <a:ln>
            <a:noFill/>
          </a:ln>
          <a:effectLst>
            <a:outerShdw blurRad="317500" algn="ctr" rotWithShape="0">
              <a:prstClr val="black">
                <a:alpha val="25000"/>
              </a:prstClr>
            </a:outerShdw>
          </a:effectLst>
        </c:spPr>
      </c:pivotFmt>
      <c:pivotFmt>
        <c:idx val="8"/>
        <c:spPr>
          <a:solidFill>
            <a:schemeClr val="accent6">
              <a:tint val="77000"/>
            </a:schemeClr>
          </a:solidFill>
          <a:ln>
            <a:noFill/>
          </a:ln>
          <a:effectLst>
            <a:outerShdw blurRad="317500" algn="ctr" rotWithShape="0">
              <a:prstClr val="black">
                <a:alpha val="25000"/>
              </a:prstClr>
            </a:outerShdw>
          </a:effectLst>
        </c:spPr>
      </c:pivotFmt>
      <c:pivotFmt>
        <c:idx val="9"/>
        <c:spPr>
          <a:solidFill>
            <a:schemeClr val="accent6"/>
          </a:solidFill>
          <a:ln>
            <a:noFill/>
          </a:ln>
          <a:effectLst>
            <a:outerShdw blurRad="317500" algn="ctr" rotWithShape="0">
              <a:prstClr val="black">
                <a:alpha val="25000"/>
              </a:prstClr>
            </a:outerShdw>
          </a:effectLst>
        </c:spPr>
      </c:pivotFmt>
      <c:pivotFmt>
        <c:idx val="10"/>
        <c:spPr>
          <a:solidFill>
            <a:schemeClr val="accent6">
              <a:shade val="76000"/>
            </a:schemeClr>
          </a:solidFill>
          <a:ln>
            <a:noFill/>
          </a:ln>
          <a:effectLst>
            <a:outerShdw blurRad="317500" algn="ctr" rotWithShape="0">
              <a:prstClr val="black">
                <a:alpha val="25000"/>
              </a:prstClr>
            </a:outerShdw>
          </a:effectLst>
        </c:spPr>
      </c:pivotFmt>
      <c:pivotFmt>
        <c:idx val="11"/>
        <c:spPr>
          <a:solidFill>
            <a:schemeClr val="accent6">
              <a:shade val="53000"/>
            </a:schemeClr>
          </a:solidFill>
          <a:ln>
            <a:noFill/>
          </a:ln>
          <a:effectLst>
            <a:outerShdw blurRad="317500" algn="ctr" rotWithShape="0">
              <a:prstClr val="black">
                <a:alpha val="25000"/>
              </a:prstClr>
            </a:outerShdw>
          </a:effectLst>
        </c:spPr>
      </c:pivotFmt>
      <c:pivotFmt>
        <c:idx val="12"/>
        <c:spPr>
          <a:solidFill>
            <a:schemeClr val="accent6"/>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rgbClr val="000000"/>
                  </a:solidFill>
                  <a:latin typeface="+mn-lt"/>
                  <a:ea typeface="+mn-ea"/>
                  <a:cs typeface="+mn-cs"/>
                </a:defRPr>
              </a:pPr>
              <a:endParaRPr lang="pt-BR"/>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6">
              <a:tint val="54000"/>
            </a:schemeClr>
          </a:solidFill>
          <a:ln>
            <a:noFill/>
          </a:ln>
          <a:effectLst>
            <a:outerShdw blurRad="317500" algn="ctr" rotWithShape="0">
              <a:prstClr val="black">
                <a:alpha val="25000"/>
              </a:prstClr>
            </a:outerShdw>
          </a:effectLst>
        </c:spPr>
      </c:pivotFmt>
      <c:pivotFmt>
        <c:idx val="14"/>
        <c:spPr>
          <a:solidFill>
            <a:schemeClr val="accent6">
              <a:tint val="77000"/>
            </a:schemeClr>
          </a:solidFill>
          <a:ln>
            <a:noFill/>
          </a:ln>
          <a:effectLst>
            <a:outerShdw blurRad="317500" algn="ctr" rotWithShape="0">
              <a:prstClr val="black">
                <a:alpha val="25000"/>
              </a:prstClr>
            </a:outerShdw>
          </a:effectLst>
        </c:spPr>
      </c:pivotFmt>
      <c:pivotFmt>
        <c:idx val="15"/>
        <c:spPr>
          <a:solidFill>
            <a:schemeClr val="accent6"/>
          </a:solidFill>
          <a:ln>
            <a:noFill/>
          </a:ln>
          <a:effectLst>
            <a:outerShdw blurRad="76200" dir="13500000" sy="23000" kx="1200000" algn="br" rotWithShape="0">
              <a:prstClr val="black">
                <a:alpha val="20000"/>
              </a:prstClr>
            </a:outerShdw>
          </a:effectLst>
        </c:spPr>
      </c:pivotFmt>
      <c:pivotFmt>
        <c:idx val="16"/>
        <c:spPr>
          <a:solidFill>
            <a:schemeClr val="accent6">
              <a:shade val="76000"/>
            </a:schemeClr>
          </a:solidFill>
          <a:ln>
            <a:noFill/>
          </a:ln>
          <a:effectLst>
            <a:outerShdw blurRad="317500" algn="ctr" rotWithShape="0">
              <a:prstClr val="black">
                <a:alpha val="25000"/>
              </a:prstClr>
            </a:outerShdw>
          </a:effectLst>
        </c:spPr>
      </c:pivotFmt>
      <c:pivotFmt>
        <c:idx val="17"/>
        <c:spPr>
          <a:solidFill>
            <a:schemeClr val="accent6">
              <a:shade val="53000"/>
            </a:schemeClr>
          </a:solidFill>
          <a:ln>
            <a:noFill/>
          </a:ln>
          <a:effectLst>
            <a:outerShdw blurRad="317500" algn="ctr" rotWithShape="0">
              <a:prstClr val="black">
                <a:alpha val="25000"/>
              </a:prstClr>
            </a:outerShdw>
          </a:effectLst>
        </c:spPr>
      </c:pivotFmt>
    </c:pivotFmts>
    <c:plotArea>
      <c:layout/>
      <c:pieChart>
        <c:varyColors val="1"/>
        <c:ser>
          <c:idx val="0"/>
          <c:order val="0"/>
          <c:tx>
            <c:strRef>
              <c:f>PivotTable!$B$83</c:f>
              <c:strCache>
                <c:ptCount val="1"/>
                <c:pt idx="0">
                  <c:v>Total</c:v>
                </c:pt>
              </c:strCache>
            </c:strRef>
          </c:tx>
          <c:dPt>
            <c:idx val="0"/>
            <c:bubble3D val="0"/>
            <c:spPr>
              <a:solidFill>
                <a:schemeClr val="accent6">
                  <a:tint val="54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252A-4FE5-AE3E-EC4CF589C3F3}"/>
              </c:ext>
            </c:extLst>
          </c:dPt>
          <c:dPt>
            <c:idx val="1"/>
            <c:bubble3D val="0"/>
            <c:spPr>
              <a:solidFill>
                <a:schemeClr val="accent6">
                  <a:tint val="77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252A-4FE5-AE3E-EC4CF589C3F3}"/>
              </c:ext>
            </c:extLst>
          </c:dPt>
          <c:dPt>
            <c:idx val="2"/>
            <c:bubble3D val="0"/>
            <c:spPr>
              <a:solidFill>
                <a:schemeClr val="accent6"/>
              </a:solidFill>
              <a:ln>
                <a:noFill/>
              </a:ln>
              <a:effectLst>
                <a:outerShdw blurRad="76200" dir="13500000" sy="23000" kx="1200000" algn="br" rotWithShape="0">
                  <a:prstClr val="black">
                    <a:alpha val="20000"/>
                  </a:prstClr>
                </a:outerShdw>
              </a:effectLst>
            </c:spPr>
            <c:extLst>
              <c:ext xmlns:c16="http://schemas.microsoft.com/office/drawing/2014/chart" uri="{C3380CC4-5D6E-409C-BE32-E72D297353CC}">
                <c16:uniqueId val="{00000005-252A-4FE5-AE3E-EC4CF589C3F3}"/>
              </c:ext>
            </c:extLst>
          </c:dPt>
          <c:dPt>
            <c:idx val="3"/>
            <c:bubble3D val="0"/>
            <c:spPr>
              <a:solidFill>
                <a:schemeClr val="accent6">
                  <a:shade val="76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252A-4FE5-AE3E-EC4CF589C3F3}"/>
              </c:ext>
            </c:extLst>
          </c:dPt>
          <c:dPt>
            <c:idx val="4"/>
            <c:bubble3D val="0"/>
            <c:spPr>
              <a:solidFill>
                <a:schemeClr val="accent6">
                  <a:shade val="53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252A-4FE5-AE3E-EC4CF589C3F3}"/>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rgbClr val="000000"/>
                    </a:solidFill>
                    <a:latin typeface="+mn-lt"/>
                    <a:ea typeface="+mn-ea"/>
                    <a:cs typeface="+mn-cs"/>
                  </a:defRPr>
                </a:pPr>
                <a:endParaRPr lang="pt-BR"/>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PivotTable!$A$84:$A$88</c:f>
              <c:strCache>
                <c:ptCount val="5"/>
                <c:pt idx="0">
                  <c:v>Aguardando resposta</c:v>
                </c:pt>
                <c:pt idx="1">
                  <c:v>Arquivada</c:v>
                </c:pt>
                <c:pt idx="2">
                  <c:v>Concluída</c:v>
                </c:pt>
                <c:pt idx="3">
                  <c:v>Em análise</c:v>
                </c:pt>
                <c:pt idx="4">
                  <c:v>Encaminhada</c:v>
                </c:pt>
              </c:strCache>
            </c:strRef>
          </c:cat>
          <c:val>
            <c:numRef>
              <c:f>PivotTable!$B$84:$B$88</c:f>
              <c:numCache>
                <c:formatCode>General</c:formatCode>
                <c:ptCount val="5"/>
                <c:pt idx="0">
                  <c:v>32</c:v>
                </c:pt>
                <c:pt idx="1">
                  <c:v>18</c:v>
                </c:pt>
                <c:pt idx="2">
                  <c:v>120</c:v>
                </c:pt>
                <c:pt idx="3">
                  <c:v>41</c:v>
                </c:pt>
                <c:pt idx="4">
                  <c:v>29</c:v>
                </c:pt>
              </c:numCache>
            </c:numRef>
          </c:val>
          <c:extLst>
            <c:ext xmlns:c16="http://schemas.microsoft.com/office/drawing/2014/chart" uri="{C3380CC4-5D6E-409C-BE32-E72D297353CC}">
              <c16:uniqueId val="{0000000D-15D8-4612-96FB-1E55DD2D7CB7}"/>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1800" b="0" i="0" u="none" strike="noStrike" kern="1200" baseline="0">
              <a:solidFill>
                <a:schemeClr val="dk1">
                  <a:lumMod val="65000"/>
                  <a:lumOff val="35000"/>
                </a:schemeClr>
              </a:solidFill>
              <a:latin typeface="+mn-lt"/>
              <a:ea typeface="+mn-ea"/>
              <a:cs typeface="+mn-cs"/>
            </a:defRPr>
          </a:pPr>
          <a:endParaRPr lang="pt-B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[Dashboard.xlsx]PivotTable!Tabela dinâmica22</c:name>
    <c:fmtId val="23"/>
  </c:pivotSource>
  <c:chart>
    <c:autoTitleDeleted val="1"/>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6">
              <a:tint val="77000"/>
            </a:schemeClr>
          </a:solidFill>
          <a:ln w="19050">
            <a:solidFill>
              <a:schemeClr val="lt1"/>
            </a:solidFill>
          </a:ln>
          <a:effectLst/>
        </c:spPr>
      </c:pivotFmt>
      <c:pivotFmt>
        <c:idx val="3"/>
        <c:spPr>
          <a:solidFill>
            <a:schemeClr val="accent6">
              <a:shade val="76000"/>
            </a:schemeClr>
          </a:solidFill>
          <a:ln w="19050">
            <a:solidFill>
              <a:schemeClr val="lt1"/>
            </a:solidFill>
          </a:ln>
          <a:effectLst/>
        </c:spPr>
      </c:pivotFmt>
      <c:pivotFmt>
        <c:idx val="4"/>
        <c:spPr>
          <a:solidFill>
            <a:schemeClr val="accent6"/>
          </a:solidFill>
          <a:ln w="19050">
            <a:solidFill>
              <a:schemeClr val="lt1"/>
            </a:solidFill>
          </a:ln>
          <a:effectLst>
            <a:outerShdw blurRad="76200" dir="13500000" sy="23000" kx="1200000" algn="b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rgbClr val="000000"/>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6">
              <a:tint val="77000"/>
            </a:schemeClr>
          </a:solidFill>
          <a:ln w="19050">
            <a:solidFill>
              <a:schemeClr val="lt1"/>
            </a:solidFill>
          </a:ln>
          <a:effectLst>
            <a:outerShdw blurRad="76200" dir="13500000" sy="23000" kx="1200000" algn="br" rotWithShape="0">
              <a:prstClr val="black">
                <a:alpha val="20000"/>
              </a:prstClr>
            </a:outerShdw>
          </a:effectLst>
        </c:spPr>
      </c:pivotFmt>
      <c:pivotFmt>
        <c:idx val="6"/>
        <c:spPr>
          <a:solidFill>
            <a:schemeClr val="accent6">
              <a:shade val="76000"/>
            </a:schemeClr>
          </a:solidFill>
          <a:ln w="19050">
            <a:solidFill>
              <a:schemeClr val="lt1"/>
            </a:solidFill>
          </a:ln>
          <a:effectLst>
            <a:outerShdw blurRad="76200" dir="13500000" sy="23000" kx="1200000" algn="br" rotWithShape="0">
              <a:prstClr val="black">
                <a:alpha val="20000"/>
              </a:prstClr>
            </a:outerShdw>
          </a:effectLst>
        </c:spPr>
      </c:pivotFmt>
    </c:pivotFmts>
    <c:plotArea>
      <c:layout>
        <c:manualLayout>
          <c:layoutTarget val="inner"/>
          <c:xMode val="edge"/>
          <c:yMode val="edge"/>
          <c:x val="9.4350098726250664E-2"/>
          <c:y val="0.12518213570054423"/>
          <c:w val="0.74526600676895882"/>
          <c:h val="0.83403187730025363"/>
        </c:manualLayout>
      </c:layout>
      <c:pieChart>
        <c:varyColors val="1"/>
        <c:ser>
          <c:idx val="0"/>
          <c:order val="0"/>
          <c:tx>
            <c:strRef>
              <c:f>PivotTable!$B$120</c:f>
              <c:strCache>
                <c:ptCount val="1"/>
                <c:pt idx="0">
                  <c:v>Total</c:v>
                </c:pt>
              </c:strCache>
            </c:strRef>
          </c:tx>
          <c:spPr>
            <a:effectLst>
              <a:outerShdw blurRad="76200" dir="13500000" sy="23000" kx="1200000" algn="br" rotWithShape="0">
                <a:prstClr val="black">
                  <a:alpha val="20000"/>
                </a:prstClr>
              </a:outerShdw>
            </a:effectLst>
          </c:spPr>
          <c:dPt>
            <c:idx val="0"/>
            <c:bubble3D val="0"/>
            <c:spPr>
              <a:solidFill>
                <a:schemeClr val="accent6">
                  <a:tint val="77000"/>
                </a:schemeClr>
              </a:solidFill>
              <a:ln w="19050">
                <a:solidFill>
                  <a:schemeClr val="lt1"/>
                </a:solidFill>
              </a:ln>
              <a:effectLst>
                <a:outerShdw blurRad="76200" dir="13500000" sy="23000" kx="1200000" algn="br" rotWithShape="0">
                  <a:prstClr val="black">
                    <a:alpha val="20000"/>
                  </a:prstClr>
                </a:outerShdw>
              </a:effectLst>
            </c:spPr>
            <c:extLst>
              <c:ext xmlns:c16="http://schemas.microsoft.com/office/drawing/2014/chart" uri="{C3380CC4-5D6E-409C-BE32-E72D297353CC}">
                <c16:uniqueId val="{00000001-B5A4-46CF-9A62-BCB84AE7C746}"/>
              </c:ext>
            </c:extLst>
          </c:dPt>
          <c:dPt>
            <c:idx val="1"/>
            <c:bubble3D val="0"/>
            <c:spPr>
              <a:solidFill>
                <a:schemeClr val="accent6">
                  <a:shade val="76000"/>
                </a:schemeClr>
              </a:solidFill>
              <a:ln w="19050">
                <a:solidFill>
                  <a:schemeClr val="lt1"/>
                </a:solidFill>
              </a:ln>
              <a:effectLst>
                <a:outerShdw blurRad="76200" dir="13500000" sy="23000" kx="1200000" algn="br" rotWithShape="0">
                  <a:prstClr val="black">
                    <a:alpha val="20000"/>
                  </a:prstClr>
                </a:outerShdw>
              </a:effectLst>
            </c:spPr>
            <c:extLst>
              <c:ext xmlns:c16="http://schemas.microsoft.com/office/drawing/2014/chart" uri="{C3380CC4-5D6E-409C-BE32-E72D297353CC}">
                <c16:uniqueId val="{00000003-B5A4-46CF-9A62-BCB84AE7C746}"/>
              </c:ext>
            </c:extLst>
          </c:dPt>
          <c:dLbls>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rgbClr val="000000"/>
                    </a:solidFill>
                    <a:latin typeface="+mn-lt"/>
                    <a:ea typeface="+mn-ea"/>
                    <a:cs typeface="+mn-cs"/>
                  </a:defRPr>
                </a:pPr>
                <a:endParaRPr lang="pt-BR"/>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PivotTable!$A$121:$A$123</c:f>
              <c:strCache>
                <c:ptCount val="2"/>
                <c:pt idx="0">
                  <c:v>Não</c:v>
                </c:pt>
                <c:pt idx="1">
                  <c:v>Sim</c:v>
                </c:pt>
              </c:strCache>
            </c:strRef>
          </c:cat>
          <c:val>
            <c:numRef>
              <c:f>PivotTable!$B$121:$B$123</c:f>
              <c:numCache>
                <c:formatCode>General</c:formatCode>
                <c:ptCount val="2"/>
                <c:pt idx="0">
                  <c:v>20</c:v>
                </c:pt>
                <c:pt idx="1">
                  <c:v>220</c:v>
                </c:pt>
              </c:numCache>
            </c:numRef>
          </c:val>
          <c:extLst>
            <c:ext xmlns:c16="http://schemas.microsoft.com/office/drawing/2014/chart" uri="{C3380CC4-5D6E-409C-BE32-E72D297353CC}">
              <c16:uniqueId val="{00000004-B5A4-46CF-9A62-BCB84AE7C746}"/>
            </c:ext>
          </c:extLst>
        </c:ser>
        <c:dLbls>
          <c:showLegendKey val="0"/>
          <c:showVal val="0"/>
          <c:showCatName val="1"/>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[Dashboard.xlsx]PivotTable!Tabela dinâmica20</c:name>
    <c:fmtId val="16"/>
  </c:pivotSource>
  <c:chart>
    <c:autoTitleDeleted val="1"/>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rgbClr val="000000"/>
                  </a:solidFill>
                  <a:latin typeface="+mn-lt"/>
                  <a:ea typeface="+mn-ea"/>
                  <a:cs typeface="+mn-cs"/>
                </a:defRPr>
              </a:pPr>
              <a:endParaRPr lang="pt-BR"/>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1612416354088403E-2"/>
          <c:y val="5.8464354534271283E-2"/>
          <c:w val="0.93027230990754384"/>
          <c:h val="0.64801221361263117"/>
        </c:manualLayout>
      </c:layout>
      <c:barChart>
        <c:barDir val="col"/>
        <c:grouping val="stacked"/>
        <c:varyColors val="0"/>
        <c:ser>
          <c:idx val="0"/>
          <c:order val="0"/>
          <c:tx>
            <c:strRef>
              <c:f>PivotTable!$B$101</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rgbClr val="000000"/>
                    </a:solidFill>
                    <a:latin typeface="+mn-lt"/>
                    <a:ea typeface="+mn-ea"/>
                    <a:cs typeface="+mn-cs"/>
                  </a:defRPr>
                </a:pPr>
                <a:endParaRPr lang="pt-B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PivotTable!$A$102:$A$110</c:f>
              <c:strCache>
                <c:ptCount val="8"/>
                <c:pt idx="0">
                  <c:v>CGTI</c:v>
                </c:pt>
                <c:pt idx="1">
                  <c:v>Consultoria Jurídica</c:v>
                </c:pt>
                <c:pt idx="2">
                  <c:v>Gabinete</c:v>
                </c:pt>
                <c:pt idx="3">
                  <c:v>Ouvidoria</c:v>
                </c:pt>
                <c:pt idx="4">
                  <c:v>SECD</c:v>
                </c:pt>
                <c:pt idx="5">
                  <c:v>Secretaria de Biodiversidade</c:v>
                </c:pt>
                <c:pt idx="6">
                  <c:v>Secretaria de Clima</c:v>
                </c:pt>
                <c:pt idx="7">
                  <c:v>SPOA</c:v>
                </c:pt>
              </c:strCache>
            </c:strRef>
          </c:cat>
          <c:val>
            <c:numRef>
              <c:f>PivotTable!$B$102:$B$110</c:f>
              <c:numCache>
                <c:formatCode>General</c:formatCode>
                <c:ptCount val="8"/>
                <c:pt idx="0">
                  <c:v>28</c:v>
                </c:pt>
                <c:pt idx="1">
                  <c:v>37</c:v>
                </c:pt>
                <c:pt idx="2">
                  <c:v>33</c:v>
                </c:pt>
                <c:pt idx="3">
                  <c:v>27</c:v>
                </c:pt>
                <c:pt idx="4">
                  <c:v>35</c:v>
                </c:pt>
                <c:pt idx="5">
                  <c:v>25</c:v>
                </c:pt>
                <c:pt idx="6">
                  <c:v>28</c:v>
                </c:pt>
                <c:pt idx="7">
                  <c:v>27</c:v>
                </c:pt>
              </c:numCache>
            </c:numRef>
          </c:val>
          <c:extLst>
            <c:ext xmlns:c16="http://schemas.microsoft.com/office/drawing/2014/chart" uri="{C3380CC4-5D6E-409C-BE32-E72D297353CC}">
              <c16:uniqueId val="{00000000-1B1C-44B7-9993-8D9A585BA1F0}"/>
            </c:ext>
          </c:extLst>
        </c:ser>
        <c:dLbls>
          <c:showLegendKey val="0"/>
          <c:showVal val="0"/>
          <c:showCatName val="0"/>
          <c:showSerName val="0"/>
          <c:showPercent val="0"/>
          <c:showBubbleSize val="0"/>
        </c:dLbls>
        <c:gapWidth val="150"/>
        <c:overlap val="100"/>
        <c:axId val="1303292303"/>
        <c:axId val="1303282223"/>
      </c:barChart>
      <c:catAx>
        <c:axId val="13032923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rgbClr val="000000"/>
                </a:solidFill>
                <a:latin typeface="+mn-lt"/>
                <a:ea typeface="+mn-ea"/>
                <a:cs typeface="+mn-cs"/>
              </a:defRPr>
            </a:pPr>
            <a:endParaRPr lang="pt-BR"/>
          </a:p>
        </c:txPr>
        <c:crossAx val="1303282223"/>
        <c:crosses val="autoZero"/>
        <c:auto val="1"/>
        <c:lblAlgn val="ctr"/>
        <c:lblOffset val="100"/>
        <c:noMultiLvlLbl val="0"/>
      </c:catAx>
      <c:valAx>
        <c:axId val="1303282223"/>
        <c:scaling>
          <c:orientation val="minMax"/>
        </c:scaling>
        <c:delete val="1"/>
        <c:axPos val="l"/>
        <c:numFmt formatCode="General" sourceLinked="1"/>
        <c:majorTickMark val="none"/>
        <c:minorTickMark val="none"/>
        <c:tickLblPos val="nextTo"/>
        <c:crossAx val="1303292303"/>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[Dashboard.xlsx]PivotTable!Tabela dinâmica8</c:name>
    <c:fmtId val="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
        <c:idx val="36"/>
        <c:dLbl>
          <c:idx val="0"/>
          <c:showLegendKey val="0"/>
          <c:showVal val="0"/>
          <c:showCatName val="0"/>
          <c:showSerName val="0"/>
          <c:showPercent val="0"/>
          <c:showBubbleSize val="0"/>
          <c:extLst>
            <c:ext xmlns:c15="http://schemas.microsoft.com/office/drawing/2012/chart" uri="{CE6537A1-D6FC-4f65-9D91-7224C49458BB}"/>
          </c:extLst>
        </c:dLbl>
      </c:pivotFmt>
      <c:pivotFmt>
        <c:idx val="37"/>
        <c:dLbl>
          <c:idx val="0"/>
          <c:showLegendKey val="0"/>
          <c:showVal val="0"/>
          <c:showCatName val="0"/>
          <c:showSerName val="0"/>
          <c:showPercent val="0"/>
          <c:showBubbleSize val="0"/>
          <c:extLst>
            <c:ext xmlns:c15="http://schemas.microsoft.com/office/drawing/2012/chart" uri="{CE6537A1-D6FC-4f65-9D91-7224C49458BB}"/>
          </c:extLst>
        </c:dLbl>
      </c:pivotFmt>
      <c:pivotFmt>
        <c:idx val="38"/>
        <c:dLbl>
          <c:idx val="0"/>
          <c:showLegendKey val="0"/>
          <c:showVal val="0"/>
          <c:showCatName val="0"/>
          <c:showSerName val="0"/>
          <c:showPercent val="0"/>
          <c:showBubbleSize val="0"/>
          <c:extLst>
            <c:ext xmlns:c15="http://schemas.microsoft.com/office/drawing/2012/chart" uri="{CE6537A1-D6FC-4f65-9D91-7224C49458BB}"/>
          </c:extLst>
        </c:dLbl>
      </c:pivotFmt>
      <c:pivotFmt>
        <c:idx val="39"/>
        <c:dLbl>
          <c:idx val="0"/>
          <c:showLegendKey val="0"/>
          <c:showVal val="0"/>
          <c:showCatName val="0"/>
          <c:showSerName val="0"/>
          <c:showPercent val="0"/>
          <c:showBubbleSize val="0"/>
          <c:extLst>
            <c:ext xmlns:c15="http://schemas.microsoft.com/office/drawing/2012/chart" uri="{CE6537A1-D6FC-4f65-9D91-7224C49458BB}"/>
          </c:extLst>
        </c:dLbl>
      </c:pivotFmt>
      <c:pivotFmt>
        <c:idx val="40"/>
        <c:dLbl>
          <c:idx val="0"/>
          <c:showLegendKey val="0"/>
          <c:showVal val="0"/>
          <c:showCatName val="0"/>
          <c:showSerName val="0"/>
          <c:showPercent val="0"/>
          <c:showBubbleSize val="0"/>
          <c:extLst>
            <c:ext xmlns:c15="http://schemas.microsoft.com/office/drawing/2012/chart" uri="{CE6537A1-D6FC-4f65-9D91-7224C49458BB}"/>
          </c:extLst>
        </c:dLbl>
      </c:pivotFmt>
      <c:pivotFmt>
        <c:idx val="41"/>
        <c:dLbl>
          <c:idx val="0"/>
          <c:showLegendKey val="0"/>
          <c:showVal val="0"/>
          <c:showCatName val="0"/>
          <c:showSerName val="0"/>
          <c:showPercent val="0"/>
          <c:showBubbleSize val="0"/>
          <c:extLst>
            <c:ext xmlns:c15="http://schemas.microsoft.com/office/drawing/2012/chart" uri="{CE6537A1-D6FC-4f65-9D91-7224C49458BB}"/>
          </c:extLst>
        </c:dLbl>
      </c:pivotFmt>
      <c:pivotFmt>
        <c:idx val="42"/>
        <c:dLbl>
          <c:idx val="0"/>
          <c:showLegendKey val="0"/>
          <c:showVal val="0"/>
          <c:showCatName val="0"/>
          <c:showSerName val="0"/>
          <c:showPercent val="0"/>
          <c:showBubbleSize val="0"/>
          <c:extLst>
            <c:ext xmlns:c15="http://schemas.microsoft.com/office/drawing/2012/chart" uri="{CE6537A1-D6FC-4f65-9D91-7224C49458BB}"/>
          </c:extLst>
        </c:dLbl>
      </c:pivotFmt>
      <c:pivotFmt>
        <c:idx val="43"/>
        <c:dLbl>
          <c:idx val="0"/>
          <c:showLegendKey val="0"/>
          <c:showVal val="0"/>
          <c:showCatName val="0"/>
          <c:showSerName val="0"/>
          <c:showPercent val="0"/>
          <c:showBubbleSize val="0"/>
          <c:extLst>
            <c:ext xmlns:c15="http://schemas.microsoft.com/office/drawing/2012/chart" uri="{CE6537A1-D6FC-4f65-9D91-7224C49458BB}"/>
          </c:extLst>
        </c:dLbl>
      </c:pivotFmt>
      <c:pivotFmt>
        <c:idx val="44"/>
        <c:dLbl>
          <c:idx val="0"/>
          <c:showLegendKey val="0"/>
          <c:showVal val="0"/>
          <c:showCatName val="0"/>
          <c:showSerName val="0"/>
          <c:showPercent val="0"/>
          <c:showBubbleSize val="0"/>
          <c:extLst>
            <c:ext xmlns:c15="http://schemas.microsoft.com/office/drawing/2012/chart" uri="{CE6537A1-D6FC-4f65-9D91-7224C49458BB}"/>
          </c:extLst>
        </c:dLbl>
      </c:pivotFmt>
      <c:pivotFmt>
        <c:idx val="45"/>
        <c:dLbl>
          <c:idx val="0"/>
          <c:showLegendKey val="0"/>
          <c:showVal val="0"/>
          <c:showCatName val="0"/>
          <c:showSerName val="0"/>
          <c:showPercent val="0"/>
          <c:showBubbleSize val="0"/>
          <c:extLst>
            <c:ext xmlns:c15="http://schemas.microsoft.com/office/drawing/2012/chart" uri="{CE6537A1-D6FC-4f65-9D91-7224C49458BB}"/>
          </c:extLst>
        </c:dLbl>
      </c:pivotFmt>
      <c:pivotFmt>
        <c:idx val="46"/>
        <c:dLbl>
          <c:idx val="0"/>
          <c:showLegendKey val="0"/>
          <c:showVal val="0"/>
          <c:showCatName val="0"/>
          <c:showSerName val="0"/>
          <c:showPercent val="0"/>
          <c:showBubbleSize val="0"/>
          <c:extLst>
            <c:ext xmlns:c15="http://schemas.microsoft.com/office/drawing/2012/chart" uri="{CE6537A1-D6FC-4f65-9D91-7224C49458BB}"/>
          </c:extLst>
        </c:dLbl>
      </c:pivotFmt>
      <c:pivotFmt>
        <c:idx val="47"/>
        <c:dLbl>
          <c:idx val="0"/>
          <c:showLegendKey val="0"/>
          <c:showVal val="0"/>
          <c:showCatName val="0"/>
          <c:showSerName val="0"/>
          <c:showPercent val="0"/>
          <c:showBubbleSize val="0"/>
          <c:extLst>
            <c:ext xmlns:c15="http://schemas.microsoft.com/office/drawing/2012/chart" uri="{CE6537A1-D6FC-4f65-9D91-7224C49458BB}"/>
          </c:extLst>
        </c:dLbl>
      </c:pivotFmt>
      <c:pivotFmt>
        <c:idx val="48"/>
        <c:dLbl>
          <c:idx val="0"/>
          <c:showLegendKey val="0"/>
          <c:showVal val="0"/>
          <c:showCatName val="0"/>
          <c:showSerName val="0"/>
          <c:showPercent val="0"/>
          <c:showBubbleSize val="0"/>
          <c:extLst>
            <c:ext xmlns:c15="http://schemas.microsoft.com/office/drawing/2012/chart" uri="{CE6537A1-D6FC-4f65-9D91-7224C49458BB}"/>
          </c:extLst>
        </c:dLbl>
      </c:pivotFmt>
      <c:pivotFmt>
        <c:idx val="49"/>
        <c:dLbl>
          <c:idx val="0"/>
          <c:showLegendKey val="0"/>
          <c:showVal val="0"/>
          <c:showCatName val="0"/>
          <c:showSerName val="0"/>
          <c:showPercent val="0"/>
          <c:showBubbleSize val="0"/>
          <c:extLst>
            <c:ext xmlns:c15="http://schemas.microsoft.com/office/drawing/2012/chart" uri="{CE6537A1-D6FC-4f65-9D91-7224C49458BB}"/>
          </c:extLst>
        </c:dLbl>
      </c:pivotFmt>
      <c:pivotFmt>
        <c:idx val="50"/>
        <c:dLbl>
          <c:idx val="0"/>
          <c:showLegendKey val="0"/>
          <c:showVal val="0"/>
          <c:showCatName val="0"/>
          <c:showSerName val="0"/>
          <c:showPercent val="0"/>
          <c:showBubbleSize val="0"/>
          <c:extLst>
            <c:ext xmlns:c15="http://schemas.microsoft.com/office/drawing/2012/chart" uri="{CE6537A1-D6FC-4f65-9D91-7224C49458BB}"/>
          </c:extLst>
        </c:dLbl>
      </c:pivotFmt>
      <c:pivotFmt>
        <c:idx val="51"/>
        <c:dLbl>
          <c:idx val="0"/>
          <c:showLegendKey val="0"/>
          <c:showVal val="0"/>
          <c:showCatName val="0"/>
          <c:showSerName val="0"/>
          <c:showPercent val="0"/>
          <c:showBubbleSize val="0"/>
          <c:extLst>
            <c:ext xmlns:c15="http://schemas.microsoft.com/office/drawing/2012/chart" uri="{CE6537A1-D6FC-4f65-9D91-7224C49458BB}"/>
          </c:extLst>
        </c:dLbl>
      </c:pivotFmt>
      <c:pivotFmt>
        <c:idx val="52"/>
        <c:dLbl>
          <c:idx val="0"/>
          <c:showLegendKey val="0"/>
          <c:showVal val="0"/>
          <c:showCatName val="0"/>
          <c:showSerName val="0"/>
          <c:showPercent val="0"/>
          <c:showBubbleSize val="0"/>
          <c:extLst>
            <c:ext xmlns:c15="http://schemas.microsoft.com/office/drawing/2012/chart" uri="{CE6537A1-D6FC-4f65-9D91-7224C49458BB}"/>
          </c:extLst>
        </c:dLbl>
      </c:pivotFmt>
      <c:pivotFmt>
        <c:idx val="53"/>
        <c:dLbl>
          <c:idx val="0"/>
          <c:showLegendKey val="0"/>
          <c:showVal val="0"/>
          <c:showCatName val="0"/>
          <c:showSerName val="0"/>
          <c:showPercent val="0"/>
          <c:showBubbleSize val="0"/>
          <c:extLst>
            <c:ext xmlns:c15="http://schemas.microsoft.com/office/drawing/2012/chart" uri="{CE6537A1-D6FC-4f65-9D91-7224C49458BB}"/>
          </c:extLst>
        </c:dLbl>
      </c:pivotFmt>
      <c:pivotFmt>
        <c:idx val="54"/>
        <c:dLbl>
          <c:idx val="0"/>
          <c:showLegendKey val="0"/>
          <c:showVal val="0"/>
          <c:showCatName val="0"/>
          <c:showSerName val="0"/>
          <c:showPercent val="0"/>
          <c:showBubbleSize val="0"/>
          <c:extLst>
            <c:ext xmlns:c15="http://schemas.microsoft.com/office/drawing/2012/chart" uri="{CE6537A1-D6FC-4f65-9D91-7224C49458BB}"/>
          </c:extLst>
        </c:dLbl>
      </c:pivotFmt>
      <c:pivotFmt>
        <c:idx val="55"/>
        <c:dLbl>
          <c:idx val="0"/>
          <c:showLegendKey val="0"/>
          <c:showVal val="0"/>
          <c:showCatName val="0"/>
          <c:showSerName val="0"/>
          <c:showPercent val="0"/>
          <c:showBubbleSize val="0"/>
          <c:extLst>
            <c:ext xmlns:c15="http://schemas.microsoft.com/office/drawing/2012/chart" uri="{CE6537A1-D6FC-4f65-9D91-7224C49458BB}"/>
          </c:extLst>
        </c:dLbl>
      </c:pivotFmt>
      <c:pivotFmt>
        <c:idx val="56"/>
        <c:dLbl>
          <c:idx val="0"/>
          <c:showLegendKey val="0"/>
          <c:showVal val="0"/>
          <c:showCatName val="0"/>
          <c:showSerName val="0"/>
          <c:showPercent val="0"/>
          <c:showBubbleSize val="0"/>
          <c:extLst>
            <c:ext xmlns:c15="http://schemas.microsoft.com/office/drawing/2012/chart" uri="{CE6537A1-D6FC-4f65-9D91-7224C49458BB}"/>
          </c:extLst>
        </c:dLbl>
      </c:pivotFmt>
      <c:pivotFmt>
        <c:idx val="57"/>
        <c:dLbl>
          <c:idx val="0"/>
          <c:showLegendKey val="0"/>
          <c:showVal val="0"/>
          <c:showCatName val="0"/>
          <c:showSerName val="0"/>
          <c:showPercent val="0"/>
          <c:showBubbleSize val="0"/>
          <c:extLst>
            <c:ext xmlns:c15="http://schemas.microsoft.com/office/drawing/2012/chart" uri="{CE6537A1-D6FC-4f65-9D91-7224C49458BB}"/>
          </c:extLst>
        </c:dLbl>
      </c:pivotFmt>
      <c:pivotFmt>
        <c:idx val="58"/>
        <c:dLbl>
          <c:idx val="0"/>
          <c:showLegendKey val="0"/>
          <c:showVal val="0"/>
          <c:showCatName val="0"/>
          <c:showSerName val="0"/>
          <c:showPercent val="0"/>
          <c:showBubbleSize val="0"/>
          <c:extLst>
            <c:ext xmlns:c15="http://schemas.microsoft.com/office/drawing/2012/chart" uri="{CE6537A1-D6FC-4f65-9D91-7224C49458BB}"/>
          </c:extLst>
        </c:dLbl>
      </c:pivotFmt>
      <c:pivotFmt>
        <c:idx val="59"/>
        <c:dLbl>
          <c:idx val="0"/>
          <c:showLegendKey val="0"/>
          <c:showVal val="0"/>
          <c:showCatName val="0"/>
          <c:showSerName val="0"/>
          <c:showPercent val="0"/>
          <c:showBubbleSize val="0"/>
          <c:extLst>
            <c:ext xmlns:c15="http://schemas.microsoft.com/office/drawing/2012/chart" uri="{CE6537A1-D6FC-4f65-9D91-7224C49458BB}"/>
          </c:extLst>
        </c:dLbl>
      </c:pivotFmt>
      <c:pivotFmt>
        <c:idx val="60"/>
        <c:dLbl>
          <c:idx val="0"/>
          <c:showLegendKey val="0"/>
          <c:showVal val="0"/>
          <c:showCatName val="0"/>
          <c:showSerName val="0"/>
          <c:showPercent val="0"/>
          <c:showBubbleSize val="0"/>
          <c:extLst>
            <c:ext xmlns:c15="http://schemas.microsoft.com/office/drawing/2012/chart" uri="{CE6537A1-D6FC-4f65-9D91-7224C49458BB}"/>
          </c:extLst>
        </c:dLbl>
      </c:pivotFmt>
      <c:pivotFmt>
        <c:idx val="61"/>
        <c:dLbl>
          <c:idx val="0"/>
          <c:showLegendKey val="0"/>
          <c:showVal val="0"/>
          <c:showCatName val="0"/>
          <c:showSerName val="0"/>
          <c:showPercent val="0"/>
          <c:showBubbleSize val="0"/>
          <c:extLst>
            <c:ext xmlns:c15="http://schemas.microsoft.com/office/drawing/2012/chart" uri="{CE6537A1-D6FC-4f65-9D91-7224C49458BB}"/>
          </c:extLst>
        </c:dLbl>
      </c:pivotFmt>
      <c:pivotFmt>
        <c:idx val="62"/>
        <c:dLbl>
          <c:idx val="0"/>
          <c:showLegendKey val="0"/>
          <c:showVal val="0"/>
          <c:showCatName val="0"/>
          <c:showSerName val="0"/>
          <c:showPercent val="0"/>
          <c:showBubbleSize val="0"/>
          <c:extLst>
            <c:ext xmlns:c15="http://schemas.microsoft.com/office/drawing/2012/chart" uri="{CE6537A1-D6FC-4f65-9D91-7224C49458BB}"/>
          </c:extLst>
        </c:dLbl>
      </c:pivotFmt>
      <c:pivotFmt>
        <c:idx val="63"/>
        <c:dLbl>
          <c:idx val="0"/>
          <c:showLegendKey val="0"/>
          <c:showVal val="0"/>
          <c:showCatName val="0"/>
          <c:showSerName val="0"/>
          <c:showPercent val="0"/>
          <c:showBubbleSize val="0"/>
          <c:extLst>
            <c:ext xmlns:c15="http://schemas.microsoft.com/office/drawing/2012/chart" uri="{CE6537A1-D6FC-4f65-9D91-7224C49458BB}"/>
          </c:extLst>
        </c:dLbl>
      </c:pivotFmt>
      <c:pivotFmt>
        <c:idx val="64"/>
        <c:dLbl>
          <c:idx val="0"/>
          <c:showLegendKey val="0"/>
          <c:showVal val="0"/>
          <c:showCatName val="0"/>
          <c:showSerName val="0"/>
          <c:showPercent val="0"/>
          <c:showBubbleSize val="0"/>
          <c:extLst>
            <c:ext xmlns:c15="http://schemas.microsoft.com/office/drawing/2012/chart" uri="{CE6537A1-D6FC-4f65-9D91-7224C49458BB}"/>
          </c:extLst>
        </c:dLbl>
      </c:pivotFmt>
      <c:pivotFmt>
        <c:idx val="65"/>
        <c:dLbl>
          <c:idx val="0"/>
          <c:showLegendKey val="0"/>
          <c:showVal val="0"/>
          <c:showCatName val="0"/>
          <c:showSerName val="0"/>
          <c:showPercent val="0"/>
          <c:showBubbleSize val="0"/>
          <c:extLst>
            <c:ext xmlns:c15="http://schemas.microsoft.com/office/drawing/2012/chart" uri="{CE6537A1-D6FC-4f65-9D91-7224C49458BB}"/>
          </c:extLst>
        </c:dLbl>
      </c:pivotFmt>
      <c:pivotFmt>
        <c:idx val="66"/>
        <c:dLbl>
          <c:idx val="0"/>
          <c:showLegendKey val="0"/>
          <c:showVal val="0"/>
          <c:showCatName val="0"/>
          <c:showSerName val="0"/>
          <c:showPercent val="0"/>
          <c:showBubbleSize val="0"/>
          <c:extLst>
            <c:ext xmlns:c15="http://schemas.microsoft.com/office/drawing/2012/chart" uri="{CE6537A1-D6FC-4f65-9D91-7224C49458BB}"/>
          </c:extLst>
        </c:dLbl>
      </c:pivotFmt>
      <c:pivotFmt>
        <c:idx val="67"/>
        <c:dLbl>
          <c:idx val="0"/>
          <c:showLegendKey val="0"/>
          <c:showVal val="0"/>
          <c:showCatName val="0"/>
          <c:showSerName val="0"/>
          <c:showPercent val="0"/>
          <c:showBubbleSize val="0"/>
          <c:extLst>
            <c:ext xmlns:c15="http://schemas.microsoft.com/office/drawing/2012/chart" uri="{CE6537A1-D6FC-4f65-9D91-7224C49458BB}"/>
          </c:extLst>
        </c:dLbl>
      </c:pivotFmt>
      <c:pivotFmt>
        <c:idx val="68"/>
        <c:dLbl>
          <c:idx val="0"/>
          <c:showLegendKey val="0"/>
          <c:showVal val="0"/>
          <c:showCatName val="0"/>
          <c:showSerName val="0"/>
          <c:showPercent val="0"/>
          <c:showBubbleSize val="0"/>
          <c:extLst>
            <c:ext xmlns:c15="http://schemas.microsoft.com/office/drawing/2012/chart" uri="{CE6537A1-D6FC-4f65-9D91-7224C49458BB}"/>
          </c:extLst>
        </c:dLbl>
      </c:pivotFmt>
      <c:pivotFmt>
        <c:idx val="69"/>
        <c:dLbl>
          <c:idx val="0"/>
          <c:showLegendKey val="0"/>
          <c:showVal val="0"/>
          <c:showCatName val="0"/>
          <c:showSerName val="0"/>
          <c:showPercent val="0"/>
          <c:showBubbleSize val="0"/>
          <c:extLst>
            <c:ext xmlns:c15="http://schemas.microsoft.com/office/drawing/2012/chart" uri="{CE6537A1-D6FC-4f65-9D91-7224C49458BB}"/>
          </c:extLst>
        </c:dLbl>
      </c:pivotFmt>
      <c:pivotFmt>
        <c:idx val="70"/>
        <c:dLbl>
          <c:idx val="0"/>
          <c:showLegendKey val="0"/>
          <c:showVal val="0"/>
          <c:showCatName val="0"/>
          <c:showSerName val="0"/>
          <c:showPercent val="0"/>
          <c:showBubbleSize val="0"/>
          <c:extLst>
            <c:ext xmlns:c15="http://schemas.microsoft.com/office/drawing/2012/chart" uri="{CE6537A1-D6FC-4f65-9D91-7224C49458BB}"/>
          </c:extLst>
        </c:dLbl>
      </c:pivotFmt>
      <c:pivotFmt>
        <c:idx val="71"/>
        <c:dLbl>
          <c:idx val="0"/>
          <c:showLegendKey val="0"/>
          <c:showVal val="0"/>
          <c:showCatName val="0"/>
          <c:showSerName val="0"/>
          <c:showPercent val="0"/>
          <c:showBubbleSize val="0"/>
          <c:extLst>
            <c:ext xmlns:c15="http://schemas.microsoft.com/office/drawing/2012/chart" uri="{CE6537A1-D6FC-4f65-9D91-7224C49458BB}"/>
          </c:extLst>
        </c:dLbl>
      </c:pivotFmt>
      <c:pivotFmt>
        <c:idx val="72"/>
        <c:dLbl>
          <c:idx val="0"/>
          <c:showLegendKey val="0"/>
          <c:showVal val="0"/>
          <c:showCatName val="0"/>
          <c:showSerName val="0"/>
          <c:showPercent val="0"/>
          <c:showBubbleSize val="0"/>
          <c:extLst>
            <c:ext xmlns:c15="http://schemas.microsoft.com/office/drawing/2012/chart" uri="{CE6537A1-D6FC-4f65-9D91-7224C49458BB}"/>
          </c:extLst>
        </c:dLbl>
      </c:pivotFmt>
      <c:pivotFmt>
        <c:idx val="73"/>
        <c:dLbl>
          <c:idx val="0"/>
          <c:showLegendKey val="0"/>
          <c:showVal val="0"/>
          <c:showCatName val="0"/>
          <c:showSerName val="0"/>
          <c:showPercent val="0"/>
          <c:showBubbleSize val="0"/>
          <c:extLst>
            <c:ext xmlns:c15="http://schemas.microsoft.com/office/drawing/2012/chart" uri="{CE6537A1-D6FC-4f65-9D91-7224C49458BB}"/>
          </c:extLst>
        </c:dLbl>
      </c:pivotFmt>
      <c:pivotFmt>
        <c:idx val="74"/>
        <c:dLbl>
          <c:idx val="0"/>
          <c:showLegendKey val="0"/>
          <c:showVal val="0"/>
          <c:showCatName val="0"/>
          <c:showSerName val="0"/>
          <c:showPercent val="0"/>
          <c:showBubbleSize val="0"/>
          <c:extLst>
            <c:ext xmlns:c15="http://schemas.microsoft.com/office/drawing/2012/chart" uri="{CE6537A1-D6FC-4f65-9D91-7224C49458BB}"/>
          </c:extLst>
        </c:dLbl>
      </c:pivotFmt>
      <c:pivotFmt>
        <c:idx val="75"/>
        <c:dLbl>
          <c:idx val="0"/>
          <c:showLegendKey val="0"/>
          <c:showVal val="0"/>
          <c:showCatName val="0"/>
          <c:showSerName val="0"/>
          <c:showPercent val="0"/>
          <c:showBubbleSize val="0"/>
          <c:extLst>
            <c:ext xmlns:c15="http://schemas.microsoft.com/office/drawing/2012/chart" uri="{CE6537A1-D6FC-4f65-9D91-7224C49458BB}"/>
          </c:extLst>
        </c:dLbl>
      </c:pivotFmt>
      <c:pivotFmt>
        <c:idx val="76"/>
        <c:dLbl>
          <c:idx val="0"/>
          <c:showLegendKey val="0"/>
          <c:showVal val="0"/>
          <c:showCatName val="0"/>
          <c:showSerName val="0"/>
          <c:showPercent val="0"/>
          <c:showBubbleSize val="0"/>
          <c:extLst>
            <c:ext xmlns:c15="http://schemas.microsoft.com/office/drawing/2012/chart" uri="{CE6537A1-D6FC-4f65-9D91-7224C49458BB}"/>
          </c:extLst>
        </c:dLbl>
      </c:pivotFmt>
      <c:pivotFmt>
        <c:idx val="77"/>
        <c:dLbl>
          <c:idx val="0"/>
          <c:showLegendKey val="0"/>
          <c:showVal val="0"/>
          <c:showCatName val="0"/>
          <c:showSerName val="0"/>
          <c:showPercent val="0"/>
          <c:showBubbleSize val="0"/>
          <c:extLst>
            <c:ext xmlns:c15="http://schemas.microsoft.com/office/drawing/2012/chart" uri="{CE6537A1-D6FC-4f65-9D91-7224C49458BB}"/>
          </c:extLst>
        </c:dLbl>
      </c:pivotFmt>
      <c:pivotFmt>
        <c:idx val="78"/>
        <c:dLbl>
          <c:idx val="0"/>
          <c:showLegendKey val="0"/>
          <c:showVal val="0"/>
          <c:showCatName val="0"/>
          <c:showSerName val="0"/>
          <c:showPercent val="0"/>
          <c:showBubbleSize val="0"/>
          <c:extLst>
            <c:ext xmlns:c15="http://schemas.microsoft.com/office/drawing/2012/chart" uri="{CE6537A1-D6FC-4f65-9D91-7224C49458BB}"/>
          </c:extLst>
        </c:dLbl>
      </c:pivotFmt>
      <c:pivotFmt>
        <c:idx val="79"/>
        <c:dLbl>
          <c:idx val="0"/>
          <c:showLegendKey val="0"/>
          <c:showVal val="0"/>
          <c:showCatName val="0"/>
          <c:showSerName val="0"/>
          <c:showPercent val="0"/>
          <c:showBubbleSize val="0"/>
          <c:extLst>
            <c:ext xmlns:c15="http://schemas.microsoft.com/office/drawing/2012/chart" uri="{CE6537A1-D6FC-4f65-9D91-7224C49458BB}"/>
          </c:extLst>
        </c:dLbl>
      </c:pivotFmt>
      <c:pivotFmt>
        <c:idx val="80"/>
        <c:dLbl>
          <c:idx val="0"/>
          <c:showLegendKey val="0"/>
          <c:showVal val="0"/>
          <c:showCatName val="0"/>
          <c:showSerName val="0"/>
          <c:showPercent val="0"/>
          <c:showBubbleSize val="0"/>
          <c:extLst>
            <c:ext xmlns:c15="http://schemas.microsoft.com/office/drawing/2012/chart" uri="{CE6537A1-D6FC-4f65-9D91-7224C49458BB}"/>
          </c:extLst>
        </c:dLbl>
      </c:pivotFmt>
      <c:pivotFmt>
        <c:idx val="81"/>
        <c:dLbl>
          <c:idx val="0"/>
          <c:showLegendKey val="0"/>
          <c:showVal val="0"/>
          <c:showCatName val="0"/>
          <c:showSerName val="0"/>
          <c:showPercent val="0"/>
          <c:showBubbleSize val="0"/>
          <c:extLst>
            <c:ext xmlns:c15="http://schemas.microsoft.com/office/drawing/2012/chart" uri="{CE6537A1-D6FC-4f65-9D91-7224C49458BB}"/>
          </c:extLst>
        </c:dLbl>
      </c:pivotFmt>
      <c:pivotFmt>
        <c:idx val="82"/>
        <c:dLbl>
          <c:idx val="0"/>
          <c:showLegendKey val="0"/>
          <c:showVal val="0"/>
          <c:showCatName val="0"/>
          <c:showSerName val="0"/>
          <c:showPercent val="0"/>
          <c:showBubbleSize val="0"/>
          <c:extLst>
            <c:ext xmlns:c15="http://schemas.microsoft.com/office/drawing/2012/chart" uri="{CE6537A1-D6FC-4f65-9D91-7224C49458BB}"/>
          </c:extLst>
        </c:dLbl>
      </c:pivotFmt>
      <c:pivotFmt>
        <c:idx val="83"/>
        <c:dLbl>
          <c:idx val="0"/>
          <c:showLegendKey val="0"/>
          <c:showVal val="0"/>
          <c:showCatName val="0"/>
          <c:showSerName val="0"/>
          <c:showPercent val="0"/>
          <c:showBubbleSize val="0"/>
          <c:extLst>
            <c:ext xmlns:c15="http://schemas.microsoft.com/office/drawing/2012/chart" uri="{CE6537A1-D6FC-4f65-9D91-7224C49458BB}"/>
          </c:extLst>
        </c:dLbl>
      </c:pivotFmt>
      <c:pivotFmt>
        <c:idx val="84"/>
        <c:dLbl>
          <c:idx val="0"/>
          <c:showLegendKey val="0"/>
          <c:showVal val="0"/>
          <c:showCatName val="0"/>
          <c:showSerName val="0"/>
          <c:showPercent val="0"/>
          <c:showBubbleSize val="0"/>
          <c:extLst>
            <c:ext xmlns:c15="http://schemas.microsoft.com/office/drawing/2012/chart" uri="{CE6537A1-D6FC-4f65-9D91-7224C49458BB}"/>
          </c:extLst>
        </c:dLbl>
      </c:pivotFmt>
      <c:pivotFmt>
        <c:idx val="85"/>
        <c:dLbl>
          <c:idx val="0"/>
          <c:showLegendKey val="0"/>
          <c:showVal val="0"/>
          <c:showCatName val="0"/>
          <c:showSerName val="0"/>
          <c:showPercent val="0"/>
          <c:showBubbleSize val="0"/>
          <c:extLst>
            <c:ext xmlns:c15="http://schemas.microsoft.com/office/drawing/2012/chart" uri="{CE6537A1-D6FC-4f65-9D91-7224C49458BB}"/>
          </c:extLst>
        </c:dLbl>
      </c:pivotFmt>
      <c:pivotFmt>
        <c:idx val="86"/>
        <c:dLbl>
          <c:idx val="0"/>
          <c:showLegendKey val="0"/>
          <c:showVal val="0"/>
          <c:showCatName val="0"/>
          <c:showSerName val="0"/>
          <c:showPercent val="0"/>
          <c:showBubbleSize val="0"/>
          <c:extLst>
            <c:ext xmlns:c15="http://schemas.microsoft.com/office/drawing/2012/chart" uri="{CE6537A1-D6FC-4f65-9D91-7224C49458BB}"/>
          </c:extLst>
        </c:dLbl>
      </c:pivotFmt>
      <c:pivotFmt>
        <c:idx val="87"/>
        <c:dLbl>
          <c:idx val="0"/>
          <c:showLegendKey val="0"/>
          <c:showVal val="0"/>
          <c:showCatName val="0"/>
          <c:showSerName val="0"/>
          <c:showPercent val="0"/>
          <c:showBubbleSize val="0"/>
          <c:extLst>
            <c:ext xmlns:c15="http://schemas.microsoft.com/office/drawing/2012/chart" uri="{CE6537A1-D6FC-4f65-9D91-7224C49458BB}"/>
          </c:extLst>
        </c:dLbl>
      </c:pivotFmt>
      <c:pivotFmt>
        <c:idx val="88"/>
        <c:dLbl>
          <c:idx val="0"/>
          <c:showLegendKey val="0"/>
          <c:showVal val="0"/>
          <c:showCatName val="0"/>
          <c:showSerName val="0"/>
          <c:showPercent val="0"/>
          <c:showBubbleSize val="0"/>
          <c:extLst>
            <c:ext xmlns:c15="http://schemas.microsoft.com/office/drawing/2012/chart" uri="{CE6537A1-D6FC-4f65-9D91-7224C49458BB}"/>
          </c:extLst>
        </c:dLbl>
      </c:pivotFmt>
      <c:pivotFmt>
        <c:idx val="89"/>
        <c:dLbl>
          <c:idx val="0"/>
          <c:showLegendKey val="0"/>
          <c:showVal val="0"/>
          <c:showCatName val="0"/>
          <c:showSerName val="0"/>
          <c:showPercent val="0"/>
          <c:showBubbleSize val="0"/>
          <c:extLst>
            <c:ext xmlns:c15="http://schemas.microsoft.com/office/drawing/2012/chart" uri="{CE6537A1-D6FC-4f65-9D91-7224C49458BB}"/>
          </c:extLst>
        </c:dLbl>
      </c:pivotFmt>
      <c:pivotFmt>
        <c:idx val="90"/>
        <c:dLbl>
          <c:idx val="0"/>
          <c:showLegendKey val="0"/>
          <c:showVal val="0"/>
          <c:showCatName val="0"/>
          <c:showSerName val="0"/>
          <c:showPercent val="0"/>
          <c:showBubbleSize val="0"/>
          <c:extLst>
            <c:ext xmlns:c15="http://schemas.microsoft.com/office/drawing/2012/chart" uri="{CE6537A1-D6FC-4f65-9D91-7224C49458BB}"/>
          </c:extLst>
        </c:dLbl>
      </c:pivotFmt>
      <c:pivotFmt>
        <c:idx val="91"/>
        <c:dLbl>
          <c:idx val="0"/>
          <c:showLegendKey val="0"/>
          <c:showVal val="0"/>
          <c:showCatName val="0"/>
          <c:showSerName val="0"/>
          <c:showPercent val="0"/>
          <c:showBubbleSize val="0"/>
          <c:extLst>
            <c:ext xmlns:c15="http://schemas.microsoft.com/office/drawing/2012/chart" uri="{CE6537A1-D6FC-4f65-9D91-7224C49458BB}"/>
          </c:extLst>
        </c:dLbl>
      </c:pivotFmt>
      <c:pivotFmt>
        <c:idx val="92"/>
        <c:dLbl>
          <c:idx val="0"/>
          <c:showLegendKey val="0"/>
          <c:showVal val="0"/>
          <c:showCatName val="0"/>
          <c:showSerName val="0"/>
          <c:showPercent val="0"/>
          <c:showBubbleSize val="0"/>
          <c:extLst>
            <c:ext xmlns:c15="http://schemas.microsoft.com/office/drawing/2012/chart" uri="{CE6537A1-D6FC-4f65-9D91-7224C49458BB}"/>
          </c:extLst>
        </c:dLbl>
      </c:pivotFmt>
      <c:pivotFmt>
        <c:idx val="93"/>
        <c:dLbl>
          <c:idx val="0"/>
          <c:showLegendKey val="0"/>
          <c:showVal val="0"/>
          <c:showCatName val="0"/>
          <c:showSerName val="0"/>
          <c:showPercent val="0"/>
          <c:showBubbleSize val="0"/>
          <c:extLst>
            <c:ext xmlns:c15="http://schemas.microsoft.com/office/drawing/2012/chart" uri="{CE6537A1-D6FC-4f65-9D91-7224C49458BB}"/>
          </c:extLst>
        </c:dLbl>
      </c:pivotFmt>
      <c:pivotFmt>
        <c:idx val="94"/>
        <c:dLbl>
          <c:idx val="0"/>
          <c:showLegendKey val="0"/>
          <c:showVal val="0"/>
          <c:showCatName val="0"/>
          <c:showSerName val="0"/>
          <c:showPercent val="0"/>
          <c:showBubbleSize val="0"/>
          <c:extLst>
            <c:ext xmlns:c15="http://schemas.microsoft.com/office/drawing/2012/chart" uri="{CE6537A1-D6FC-4f65-9D91-7224C49458BB}"/>
          </c:extLst>
        </c:dLbl>
      </c:pivotFmt>
      <c:pivotFmt>
        <c:idx val="95"/>
        <c:dLbl>
          <c:idx val="0"/>
          <c:showLegendKey val="0"/>
          <c:showVal val="0"/>
          <c:showCatName val="0"/>
          <c:showSerName val="0"/>
          <c:showPercent val="0"/>
          <c:showBubbleSize val="0"/>
          <c:extLst>
            <c:ext xmlns:c15="http://schemas.microsoft.com/office/drawing/2012/chart" uri="{CE6537A1-D6FC-4f65-9D91-7224C49458BB}"/>
          </c:extLst>
        </c:dLbl>
      </c:pivotFmt>
      <c:pivotFmt>
        <c:idx val="96"/>
        <c:dLbl>
          <c:idx val="0"/>
          <c:showLegendKey val="0"/>
          <c:showVal val="0"/>
          <c:showCatName val="0"/>
          <c:showSerName val="0"/>
          <c:showPercent val="0"/>
          <c:showBubbleSize val="0"/>
          <c:extLst>
            <c:ext xmlns:c15="http://schemas.microsoft.com/office/drawing/2012/chart" uri="{CE6537A1-D6FC-4f65-9D91-7224C49458BB}"/>
          </c:extLst>
        </c:dLbl>
      </c:pivotFmt>
      <c:pivotFmt>
        <c:idx val="97"/>
        <c:dLbl>
          <c:idx val="0"/>
          <c:showLegendKey val="0"/>
          <c:showVal val="0"/>
          <c:showCatName val="0"/>
          <c:showSerName val="0"/>
          <c:showPercent val="0"/>
          <c:showBubbleSize val="0"/>
          <c:extLst>
            <c:ext xmlns:c15="http://schemas.microsoft.com/office/drawing/2012/chart" uri="{CE6537A1-D6FC-4f65-9D91-7224C49458BB}"/>
          </c:extLst>
        </c:dLbl>
      </c:pivotFmt>
      <c:pivotFmt>
        <c:idx val="98"/>
        <c:dLbl>
          <c:idx val="0"/>
          <c:showLegendKey val="0"/>
          <c:showVal val="0"/>
          <c:showCatName val="0"/>
          <c:showSerName val="0"/>
          <c:showPercent val="0"/>
          <c:showBubbleSize val="0"/>
          <c:extLst>
            <c:ext xmlns:c15="http://schemas.microsoft.com/office/drawing/2012/chart" uri="{CE6537A1-D6FC-4f65-9D91-7224C49458BB}"/>
          </c:extLst>
        </c:dLbl>
      </c:pivotFmt>
      <c:pivotFmt>
        <c:idx val="99"/>
        <c:dLbl>
          <c:idx val="0"/>
          <c:showLegendKey val="0"/>
          <c:showVal val="0"/>
          <c:showCatName val="0"/>
          <c:showSerName val="0"/>
          <c:showPercent val="0"/>
          <c:showBubbleSize val="0"/>
          <c:extLst>
            <c:ext xmlns:c15="http://schemas.microsoft.com/office/drawing/2012/chart" uri="{CE6537A1-D6FC-4f65-9D91-7224C49458BB}"/>
          </c:extLst>
        </c:dLbl>
      </c:pivotFmt>
      <c:pivotFmt>
        <c:idx val="100"/>
        <c:dLbl>
          <c:idx val="0"/>
          <c:showLegendKey val="0"/>
          <c:showVal val="0"/>
          <c:showCatName val="0"/>
          <c:showSerName val="0"/>
          <c:showPercent val="0"/>
          <c:showBubbleSize val="0"/>
          <c:extLst>
            <c:ext xmlns:c15="http://schemas.microsoft.com/office/drawing/2012/chart" uri="{CE6537A1-D6FC-4f65-9D91-7224C49458BB}"/>
          </c:extLst>
        </c:dLbl>
      </c:pivotFmt>
      <c:pivotFmt>
        <c:idx val="101"/>
        <c:dLbl>
          <c:idx val="0"/>
          <c:showLegendKey val="0"/>
          <c:showVal val="0"/>
          <c:showCatName val="0"/>
          <c:showSerName val="0"/>
          <c:showPercent val="0"/>
          <c:showBubbleSize val="0"/>
          <c:extLst>
            <c:ext xmlns:c15="http://schemas.microsoft.com/office/drawing/2012/chart" uri="{CE6537A1-D6FC-4f65-9D91-7224C49458BB}"/>
          </c:extLst>
        </c:dLbl>
      </c:pivotFmt>
      <c:pivotFmt>
        <c:idx val="102"/>
        <c:dLbl>
          <c:idx val="0"/>
          <c:showLegendKey val="0"/>
          <c:showVal val="0"/>
          <c:showCatName val="0"/>
          <c:showSerName val="0"/>
          <c:showPercent val="0"/>
          <c:showBubbleSize val="0"/>
          <c:extLst>
            <c:ext xmlns:c15="http://schemas.microsoft.com/office/drawing/2012/chart" uri="{CE6537A1-D6FC-4f65-9D91-7224C49458BB}"/>
          </c:extLst>
        </c:dLbl>
      </c:pivotFmt>
      <c:pivotFmt>
        <c:idx val="103"/>
        <c:dLbl>
          <c:idx val="0"/>
          <c:showLegendKey val="0"/>
          <c:showVal val="0"/>
          <c:showCatName val="0"/>
          <c:showSerName val="0"/>
          <c:showPercent val="0"/>
          <c:showBubbleSize val="0"/>
          <c:extLst>
            <c:ext xmlns:c15="http://schemas.microsoft.com/office/drawing/2012/chart" uri="{CE6537A1-D6FC-4f65-9D91-7224C49458BB}"/>
          </c:extLst>
        </c:dLbl>
      </c:pivotFmt>
      <c:pivotFmt>
        <c:idx val="104"/>
        <c:dLbl>
          <c:idx val="0"/>
          <c:showLegendKey val="0"/>
          <c:showVal val="0"/>
          <c:showCatName val="0"/>
          <c:showSerName val="0"/>
          <c:showPercent val="0"/>
          <c:showBubbleSize val="0"/>
          <c:extLst>
            <c:ext xmlns:c15="http://schemas.microsoft.com/office/drawing/2012/chart" uri="{CE6537A1-D6FC-4f65-9D91-7224C49458BB}"/>
          </c:extLst>
        </c:dLbl>
      </c:pivotFmt>
      <c:pivotFmt>
        <c:idx val="105"/>
        <c:dLbl>
          <c:idx val="0"/>
          <c:showLegendKey val="0"/>
          <c:showVal val="0"/>
          <c:showCatName val="0"/>
          <c:showSerName val="0"/>
          <c:showPercent val="0"/>
          <c:showBubbleSize val="0"/>
          <c:extLst>
            <c:ext xmlns:c15="http://schemas.microsoft.com/office/drawing/2012/chart" uri="{CE6537A1-D6FC-4f65-9D91-7224C49458BB}"/>
          </c:extLst>
        </c:dLbl>
      </c:pivotFmt>
      <c:pivotFmt>
        <c:idx val="106"/>
        <c:dLbl>
          <c:idx val="0"/>
          <c:showLegendKey val="0"/>
          <c:showVal val="0"/>
          <c:showCatName val="0"/>
          <c:showSerName val="0"/>
          <c:showPercent val="0"/>
          <c:showBubbleSize val="0"/>
          <c:extLst>
            <c:ext xmlns:c15="http://schemas.microsoft.com/office/drawing/2012/chart" uri="{CE6537A1-D6FC-4f65-9D91-7224C49458BB}"/>
          </c:extLst>
        </c:dLbl>
      </c:pivotFmt>
      <c:pivotFmt>
        <c:idx val="107"/>
        <c:dLbl>
          <c:idx val="0"/>
          <c:showLegendKey val="0"/>
          <c:showVal val="0"/>
          <c:showCatName val="0"/>
          <c:showSerName val="0"/>
          <c:showPercent val="0"/>
          <c:showBubbleSize val="0"/>
          <c:extLst>
            <c:ext xmlns:c15="http://schemas.microsoft.com/office/drawing/2012/chart" uri="{CE6537A1-D6FC-4f65-9D91-7224C49458BB}"/>
          </c:extLst>
        </c:dLbl>
      </c:pivotFmt>
      <c:pivotFmt>
        <c:idx val="108"/>
        <c:dLbl>
          <c:idx val="0"/>
          <c:showLegendKey val="0"/>
          <c:showVal val="0"/>
          <c:showCatName val="0"/>
          <c:showSerName val="0"/>
          <c:showPercent val="0"/>
          <c:showBubbleSize val="0"/>
          <c:extLst>
            <c:ext xmlns:c15="http://schemas.microsoft.com/office/drawing/2012/chart" uri="{CE6537A1-D6FC-4f65-9D91-7224C49458BB}"/>
          </c:extLst>
        </c:dLbl>
      </c:pivotFmt>
      <c:pivotFmt>
        <c:idx val="109"/>
        <c:dLbl>
          <c:idx val="0"/>
          <c:showLegendKey val="0"/>
          <c:showVal val="0"/>
          <c:showCatName val="0"/>
          <c:showSerName val="0"/>
          <c:showPercent val="0"/>
          <c:showBubbleSize val="0"/>
          <c:extLst>
            <c:ext xmlns:c15="http://schemas.microsoft.com/office/drawing/2012/chart" uri="{CE6537A1-D6FC-4f65-9D91-7224C49458BB}"/>
          </c:extLst>
        </c:dLbl>
      </c:pivotFmt>
      <c:pivotFmt>
        <c:idx val="110"/>
        <c:dLbl>
          <c:idx val="0"/>
          <c:showLegendKey val="0"/>
          <c:showVal val="0"/>
          <c:showCatName val="0"/>
          <c:showSerName val="0"/>
          <c:showPercent val="0"/>
          <c:showBubbleSize val="0"/>
          <c:extLst>
            <c:ext xmlns:c15="http://schemas.microsoft.com/office/drawing/2012/chart" uri="{CE6537A1-D6FC-4f65-9D91-7224C49458BB}"/>
          </c:extLst>
        </c:dLbl>
      </c:pivotFmt>
      <c:pivotFmt>
        <c:idx val="111"/>
        <c:dLbl>
          <c:idx val="0"/>
          <c:showLegendKey val="0"/>
          <c:showVal val="0"/>
          <c:showCatName val="0"/>
          <c:showSerName val="0"/>
          <c:showPercent val="0"/>
          <c:showBubbleSize val="0"/>
          <c:extLst>
            <c:ext xmlns:c15="http://schemas.microsoft.com/office/drawing/2012/chart" uri="{CE6537A1-D6FC-4f65-9D91-7224C49458BB}"/>
          </c:extLst>
        </c:dLbl>
      </c:pivotFmt>
      <c:pivotFmt>
        <c:idx val="112"/>
        <c:dLbl>
          <c:idx val="0"/>
          <c:showLegendKey val="0"/>
          <c:showVal val="0"/>
          <c:showCatName val="0"/>
          <c:showSerName val="0"/>
          <c:showPercent val="0"/>
          <c:showBubbleSize val="0"/>
          <c:extLst>
            <c:ext xmlns:c15="http://schemas.microsoft.com/office/drawing/2012/chart" uri="{CE6537A1-D6FC-4f65-9D91-7224C49458BB}"/>
          </c:extLst>
        </c:dLbl>
      </c:pivotFmt>
      <c:pivotFmt>
        <c:idx val="113"/>
        <c:dLbl>
          <c:idx val="0"/>
          <c:showLegendKey val="0"/>
          <c:showVal val="0"/>
          <c:showCatName val="0"/>
          <c:showSerName val="0"/>
          <c:showPercent val="0"/>
          <c:showBubbleSize val="0"/>
          <c:extLst>
            <c:ext xmlns:c15="http://schemas.microsoft.com/office/drawing/2012/chart" uri="{CE6537A1-D6FC-4f65-9D91-7224C49458BB}"/>
          </c:extLst>
        </c:dLbl>
      </c:pivotFmt>
      <c:pivotFmt>
        <c:idx val="114"/>
        <c:dLbl>
          <c:idx val="0"/>
          <c:showLegendKey val="0"/>
          <c:showVal val="0"/>
          <c:showCatName val="0"/>
          <c:showSerName val="0"/>
          <c:showPercent val="0"/>
          <c:showBubbleSize val="0"/>
          <c:extLst>
            <c:ext xmlns:c15="http://schemas.microsoft.com/office/drawing/2012/chart" uri="{CE6537A1-D6FC-4f65-9D91-7224C49458BB}"/>
          </c:extLst>
        </c:dLbl>
      </c:pivotFmt>
      <c:pivotFmt>
        <c:idx val="115"/>
        <c:dLbl>
          <c:idx val="0"/>
          <c:showLegendKey val="0"/>
          <c:showVal val="0"/>
          <c:showCatName val="0"/>
          <c:showSerName val="0"/>
          <c:showPercent val="0"/>
          <c:showBubbleSize val="0"/>
          <c:extLst>
            <c:ext xmlns:c15="http://schemas.microsoft.com/office/drawing/2012/chart" uri="{CE6537A1-D6FC-4f65-9D91-7224C49458BB}"/>
          </c:extLst>
        </c:dLbl>
      </c:pivotFmt>
      <c:pivotFmt>
        <c:idx val="116"/>
        <c:dLbl>
          <c:idx val="0"/>
          <c:showLegendKey val="0"/>
          <c:showVal val="0"/>
          <c:showCatName val="0"/>
          <c:showSerName val="0"/>
          <c:showPercent val="0"/>
          <c:showBubbleSize val="0"/>
          <c:extLst>
            <c:ext xmlns:c15="http://schemas.microsoft.com/office/drawing/2012/chart" uri="{CE6537A1-D6FC-4f65-9D91-7224C49458BB}"/>
          </c:extLst>
        </c:dLbl>
      </c:pivotFmt>
      <c:pivotFmt>
        <c:idx val="117"/>
        <c:dLbl>
          <c:idx val="0"/>
          <c:showLegendKey val="0"/>
          <c:showVal val="0"/>
          <c:showCatName val="0"/>
          <c:showSerName val="0"/>
          <c:showPercent val="0"/>
          <c:showBubbleSize val="0"/>
          <c:extLst>
            <c:ext xmlns:c15="http://schemas.microsoft.com/office/drawing/2012/chart" uri="{CE6537A1-D6FC-4f65-9D91-7224C49458BB}"/>
          </c:extLst>
        </c:dLbl>
      </c:pivotFmt>
      <c:pivotFmt>
        <c:idx val="118"/>
        <c:dLbl>
          <c:idx val="0"/>
          <c:showLegendKey val="0"/>
          <c:showVal val="0"/>
          <c:showCatName val="0"/>
          <c:showSerName val="0"/>
          <c:showPercent val="0"/>
          <c:showBubbleSize val="0"/>
          <c:extLst>
            <c:ext xmlns:c15="http://schemas.microsoft.com/office/drawing/2012/chart" uri="{CE6537A1-D6FC-4f65-9D91-7224C49458BB}"/>
          </c:extLst>
        </c:dLbl>
      </c:pivotFmt>
      <c:pivotFmt>
        <c:idx val="119"/>
        <c:dLbl>
          <c:idx val="0"/>
          <c:showLegendKey val="0"/>
          <c:showVal val="0"/>
          <c:showCatName val="0"/>
          <c:showSerName val="0"/>
          <c:showPercent val="0"/>
          <c:showBubbleSize val="0"/>
          <c:extLst>
            <c:ext xmlns:c15="http://schemas.microsoft.com/office/drawing/2012/chart" uri="{CE6537A1-D6FC-4f65-9D91-7224C49458BB}"/>
          </c:extLst>
        </c:dLbl>
      </c:pivotFmt>
      <c:pivotFmt>
        <c:idx val="120"/>
        <c:dLbl>
          <c:idx val="0"/>
          <c:showLegendKey val="0"/>
          <c:showVal val="0"/>
          <c:showCatName val="0"/>
          <c:showSerName val="0"/>
          <c:showPercent val="0"/>
          <c:showBubbleSize val="0"/>
          <c:extLst>
            <c:ext xmlns:c15="http://schemas.microsoft.com/office/drawing/2012/chart" uri="{CE6537A1-D6FC-4f65-9D91-7224C49458BB}"/>
          </c:extLst>
        </c:dLbl>
      </c:pivotFmt>
      <c:pivotFmt>
        <c:idx val="121"/>
        <c:dLbl>
          <c:idx val="0"/>
          <c:showLegendKey val="0"/>
          <c:showVal val="0"/>
          <c:showCatName val="0"/>
          <c:showSerName val="0"/>
          <c:showPercent val="0"/>
          <c:showBubbleSize val="0"/>
          <c:extLst>
            <c:ext xmlns:c15="http://schemas.microsoft.com/office/drawing/2012/chart" uri="{CE6537A1-D6FC-4f65-9D91-7224C49458BB}"/>
          </c:extLst>
        </c:dLbl>
      </c:pivotFmt>
      <c:pivotFmt>
        <c:idx val="122"/>
        <c:dLbl>
          <c:idx val="0"/>
          <c:showLegendKey val="0"/>
          <c:showVal val="0"/>
          <c:showCatName val="0"/>
          <c:showSerName val="0"/>
          <c:showPercent val="0"/>
          <c:showBubbleSize val="0"/>
          <c:extLst>
            <c:ext xmlns:c15="http://schemas.microsoft.com/office/drawing/2012/chart" uri="{CE6537A1-D6FC-4f65-9D91-7224C49458BB}"/>
          </c:extLst>
        </c:dLbl>
      </c:pivotFmt>
      <c:pivotFmt>
        <c:idx val="123"/>
        <c:dLbl>
          <c:idx val="0"/>
          <c:showLegendKey val="0"/>
          <c:showVal val="0"/>
          <c:showCatName val="0"/>
          <c:showSerName val="0"/>
          <c:showPercent val="0"/>
          <c:showBubbleSize val="0"/>
          <c:extLst>
            <c:ext xmlns:c15="http://schemas.microsoft.com/office/drawing/2012/chart" uri="{CE6537A1-D6FC-4f65-9D91-7224C49458BB}"/>
          </c:extLst>
        </c:dLbl>
      </c:pivotFmt>
      <c:pivotFmt>
        <c:idx val="124"/>
        <c:dLbl>
          <c:idx val="0"/>
          <c:showLegendKey val="0"/>
          <c:showVal val="0"/>
          <c:showCatName val="0"/>
          <c:showSerName val="0"/>
          <c:showPercent val="0"/>
          <c:showBubbleSize val="0"/>
          <c:extLst>
            <c:ext xmlns:c15="http://schemas.microsoft.com/office/drawing/2012/chart" uri="{CE6537A1-D6FC-4f65-9D91-7224C49458BB}"/>
          </c:extLst>
        </c:dLbl>
      </c:pivotFmt>
      <c:pivotFmt>
        <c:idx val="125"/>
        <c:dLbl>
          <c:idx val="0"/>
          <c:showLegendKey val="0"/>
          <c:showVal val="0"/>
          <c:showCatName val="0"/>
          <c:showSerName val="0"/>
          <c:showPercent val="0"/>
          <c:showBubbleSize val="0"/>
          <c:extLst>
            <c:ext xmlns:c15="http://schemas.microsoft.com/office/drawing/2012/chart" uri="{CE6537A1-D6FC-4f65-9D91-7224C49458BB}"/>
          </c:extLst>
        </c:dLbl>
      </c:pivotFmt>
      <c:pivotFmt>
        <c:idx val="126"/>
        <c:dLbl>
          <c:idx val="0"/>
          <c:showLegendKey val="0"/>
          <c:showVal val="0"/>
          <c:showCatName val="0"/>
          <c:showSerName val="0"/>
          <c:showPercent val="0"/>
          <c:showBubbleSize val="0"/>
          <c:extLst>
            <c:ext xmlns:c15="http://schemas.microsoft.com/office/drawing/2012/chart" uri="{CE6537A1-D6FC-4f65-9D91-7224C49458BB}"/>
          </c:extLst>
        </c:dLbl>
      </c:pivotFmt>
      <c:pivotFmt>
        <c:idx val="127"/>
        <c:dLbl>
          <c:idx val="0"/>
          <c:showLegendKey val="0"/>
          <c:showVal val="0"/>
          <c:showCatName val="0"/>
          <c:showSerName val="0"/>
          <c:showPercent val="0"/>
          <c:showBubbleSize val="0"/>
          <c:extLst>
            <c:ext xmlns:c15="http://schemas.microsoft.com/office/drawing/2012/chart" uri="{CE6537A1-D6FC-4f65-9D91-7224C49458BB}"/>
          </c:extLst>
        </c:dLbl>
      </c:pivotFmt>
      <c:pivotFmt>
        <c:idx val="128"/>
        <c:dLbl>
          <c:idx val="0"/>
          <c:showLegendKey val="0"/>
          <c:showVal val="0"/>
          <c:showCatName val="0"/>
          <c:showSerName val="0"/>
          <c:showPercent val="0"/>
          <c:showBubbleSize val="0"/>
          <c:extLst>
            <c:ext xmlns:c15="http://schemas.microsoft.com/office/drawing/2012/chart" uri="{CE6537A1-D6FC-4f65-9D91-7224C49458BB}"/>
          </c:extLst>
        </c:dLbl>
      </c:pivotFmt>
      <c:pivotFmt>
        <c:idx val="129"/>
        <c:dLbl>
          <c:idx val="0"/>
          <c:showLegendKey val="0"/>
          <c:showVal val="0"/>
          <c:showCatName val="0"/>
          <c:showSerName val="0"/>
          <c:showPercent val="0"/>
          <c:showBubbleSize val="0"/>
          <c:extLst>
            <c:ext xmlns:c15="http://schemas.microsoft.com/office/drawing/2012/chart" uri="{CE6537A1-D6FC-4f65-9D91-7224C49458BB}"/>
          </c:extLst>
        </c:dLbl>
      </c:pivotFmt>
      <c:pivotFmt>
        <c:idx val="130"/>
        <c:dLbl>
          <c:idx val="0"/>
          <c:showLegendKey val="0"/>
          <c:showVal val="0"/>
          <c:showCatName val="0"/>
          <c:showSerName val="0"/>
          <c:showPercent val="0"/>
          <c:showBubbleSize val="0"/>
          <c:extLst>
            <c:ext xmlns:c15="http://schemas.microsoft.com/office/drawing/2012/chart" uri="{CE6537A1-D6FC-4f65-9D91-7224C49458BB}"/>
          </c:extLst>
        </c:dLbl>
      </c:pivotFmt>
      <c:pivotFmt>
        <c:idx val="131"/>
        <c:dLbl>
          <c:idx val="0"/>
          <c:showLegendKey val="0"/>
          <c:showVal val="0"/>
          <c:showCatName val="0"/>
          <c:showSerName val="0"/>
          <c:showPercent val="0"/>
          <c:showBubbleSize val="0"/>
          <c:extLst>
            <c:ext xmlns:c15="http://schemas.microsoft.com/office/drawing/2012/chart" uri="{CE6537A1-D6FC-4f65-9D91-7224C49458BB}"/>
          </c:extLst>
        </c:dLbl>
      </c:pivotFmt>
      <c:pivotFmt>
        <c:idx val="132"/>
        <c:dLbl>
          <c:idx val="0"/>
          <c:showLegendKey val="0"/>
          <c:showVal val="0"/>
          <c:showCatName val="0"/>
          <c:showSerName val="0"/>
          <c:showPercent val="0"/>
          <c:showBubbleSize val="0"/>
          <c:extLst>
            <c:ext xmlns:c15="http://schemas.microsoft.com/office/drawing/2012/chart" uri="{CE6537A1-D6FC-4f65-9D91-7224C49458BB}"/>
          </c:extLst>
        </c:dLbl>
      </c:pivotFmt>
      <c:pivotFmt>
        <c:idx val="133"/>
        <c:dLbl>
          <c:idx val="0"/>
          <c:showLegendKey val="0"/>
          <c:showVal val="0"/>
          <c:showCatName val="0"/>
          <c:showSerName val="0"/>
          <c:showPercent val="0"/>
          <c:showBubbleSize val="0"/>
          <c:extLst>
            <c:ext xmlns:c15="http://schemas.microsoft.com/office/drawing/2012/chart" uri="{CE6537A1-D6FC-4f65-9D91-7224C49458BB}"/>
          </c:extLst>
        </c:dLbl>
      </c:pivotFmt>
      <c:pivotFmt>
        <c:idx val="134"/>
        <c:dLbl>
          <c:idx val="0"/>
          <c:showLegendKey val="0"/>
          <c:showVal val="0"/>
          <c:showCatName val="0"/>
          <c:showSerName val="0"/>
          <c:showPercent val="0"/>
          <c:showBubbleSize val="0"/>
          <c:extLst>
            <c:ext xmlns:c15="http://schemas.microsoft.com/office/drawing/2012/chart" uri="{CE6537A1-D6FC-4f65-9D91-7224C49458BB}"/>
          </c:extLst>
        </c:dLbl>
      </c:pivotFmt>
      <c:pivotFmt>
        <c:idx val="135"/>
        <c:dLbl>
          <c:idx val="0"/>
          <c:showLegendKey val="0"/>
          <c:showVal val="0"/>
          <c:showCatName val="0"/>
          <c:showSerName val="0"/>
          <c:showPercent val="0"/>
          <c:showBubbleSize val="0"/>
          <c:extLst>
            <c:ext xmlns:c15="http://schemas.microsoft.com/office/drawing/2012/chart" uri="{CE6537A1-D6FC-4f65-9D91-7224C49458BB}"/>
          </c:extLst>
        </c:dLbl>
      </c:pivotFmt>
      <c:pivotFmt>
        <c:idx val="136"/>
        <c:dLbl>
          <c:idx val="0"/>
          <c:showLegendKey val="0"/>
          <c:showVal val="0"/>
          <c:showCatName val="0"/>
          <c:showSerName val="0"/>
          <c:showPercent val="0"/>
          <c:showBubbleSize val="0"/>
          <c:extLst>
            <c:ext xmlns:c15="http://schemas.microsoft.com/office/drawing/2012/chart" uri="{CE6537A1-D6FC-4f65-9D91-7224C49458BB}"/>
          </c:extLst>
        </c:dLbl>
      </c:pivotFmt>
      <c:pivotFmt>
        <c:idx val="137"/>
        <c:dLbl>
          <c:idx val="0"/>
          <c:showLegendKey val="0"/>
          <c:showVal val="0"/>
          <c:showCatName val="0"/>
          <c:showSerName val="0"/>
          <c:showPercent val="0"/>
          <c:showBubbleSize val="0"/>
          <c:extLst>
            <c:ext xmlns:c15="http://schemas.microsoft.com/office/drawing/2012/chart" uri="{CE6537A1-D6FC-4f65-9D91-7224C49458BB}"/>
          </c:extLst>
        </c:dLbl>
      </c:pivotFmt>
      <c:pivotFmt>
        <c:idx val="138"/>
        <c:dLbl>
          <c:idx val="0"/>
          <c:showLegendKey val="0"/>
          <c:showVal val="0"/>
          <c:showCatName val="0"/>
          <c:showSerName val="0"/>
          <c:showPercent val="0"/>
          <c:showBubbleSize val="0"/>
          <c:extLst>
            <c:ext xmlns:c15="http://schemas.microsoft.com/office/drawing/2012/chart" uri="{CE6537A1-D6FC-4f65-9D91-7224C49458BB}"/>
          </c:extLst>
        </c:dLbl>
      </c:pivotFmt>
      <c:pivotFmt>
        <c:idx val="139"/>
        <c:dLbl>
          <c:idx val="0"/>
          <c:showLegendKey val="0"/>
          <c:showVal val="0"/>
          <c:showCatName val="0"/>
          <c:showSerName val="0"/>
          <c:showPercent val="0"/>
          <c:showBubbleSize val="0"/>
          <c:extLst>
            <c:ext xmlns:c15="http://schemas.microsoft.com/office/drawing/2012/chart" uri="{CE6537A1-D6FC-4f65-9D91-7224C49458BB}"/>
          </c:extLst>
        </c:dLbl>
      </c:pivotFmt>
      <c:pivotFmt>
        <c:idx val="140"/>
        <c:dLbl>
          <c:idx val="0"/>
          <c:showLegendKey val="0"/>
          <c:showVal val="0"/>
          <c:showCatName val="0"/>
          <c:showSerName val="0"/>
          <c:showPercent val="0"/>
          <c:showBubbleSize val="0"/>
          <c:extLst>
            <c:ext xmlns:c15="http://schemas.microsoft.com/office/drawing/2012/chart" uri="{CE6537A1-D6FC-4f65-9D91-7224C49458BB}"/>
          </c:extLst>
        </c:dLbl>
      </c:pivotFmt>
      <c:pivotFmt>
        <c:idx val="141"/>
        <c:dLbl>
          <c:idx val="0"/>
          <c:showLegendKey val="0"/>
          <c:showVal val="0"/>
          <c:showCatName val="0"/>
          <c:showSerName val="0"/>
          <c:showPercent val="0"/>
          <c:showBubbleSize val="0"/>
          <c:extLst>
            <c:ext xmlns:c15="http://schemas.microsoft.com/office/drawing/2012/chart" uri="{CE6537A1-D6FC-4f65-9D91-7224C49458BB}"/>
          </c:extLst>
        </c:dLbl>
      </c:pivotFmt>
      <c:pivotFmt>
        <c:idx val="142"/>
        <c:dLbl>
          <c:idx val="0"/>
          <c:showLegendKey val="0"/>
          <c:showVal val="0"/>
          <c:showCatName val="0"/>
          <c:showSerName val="0"/>
          <c:showPercent val="0"/>
          <c:showBubbleSize val="0"/>
          <c:extLst>
            <c:ext xmlns:c15="http://schemas.microsoft.com/office/drawing/2012/chart" uri="{CE6537A1-D6FC-4f65-9D91-7224C49458BB}"/>
          </c:extLst>
        </c:dLbl>
      </c:pivotFmt>
      <c:pivotFmt>
        <c:idx val="143"/>
        <c:dLbl>
          <c:idx val="0"/>
          <c:showLegendKey val="0"/>
          <c:showVal val="0"/>
          <c:showCatName val="0"/>
          <c:showSerName val="0"/>
          <c:showPercent val="0"/>
          <c:showBubbleSize val="0"/>
          <c:extLst>
            <c:ext xmlns:c15="http://schemas.microsoft.com/office/drawing/2012/chart" uri="{CE6537A1-D6FC-4f65-9D91-7224C49458BB}"/>
          </c:extLst>
        </c:dLbl>
      </c:pivotFmt>
      <c:pivotFmt>
        <c:idx val="144"/>
        <c:dLbl>
          <c:idx val="0"/>
          <c:showLegendKey val="0"/>
          <c:showVal val="0"/>
          <c:showCatName val="0"/>
          <c:showSerName val="0"/>
          <c:showPercent val="0"/>
          <c:showBubbleSize val="0"/>
          <c:extLst>
            <c:ext xmlns:c15="http://schemas.microsoft.com/office/drawing/2012/chart" uri="{CE6537A1-D6FC-4f65-9D91-7224C49458BB}"/>
          </c:extLst>
        </c:dLbl>
      </c:pivotFmt>
      <c:pivotFmt>
        <c:idx val="145"/>
        <c:dLbl>
          <c:idx val="0"/>
          <c:showLegendKey val="0"/>
          <c:showVal val="0"/>
          <c:showCatName val="0"/>
          <c:showSerName val="0"/>
          <c:showPercent val="0"/>
          <c:showBubbleSize val="0"/>
          <c:extLst>
            <c:ext xmlns:c15="http://schemas.microsoft.com/office/drawing/2012/chart" uri="{CE6537A1-D6FC-4f65-9D91-7224C49458BB}"/>
          </c:extLst>
        </c:dLbl>
      </c:pivotFmt>
      <c:pivotFmt>
        <c:idx val="146"/>
        <c:dLbl>
          <c:idx val="0"/>
          <c:showLegendKey val="0"/>
          <c:showVal val="0"/>
          <c:showCatName val="0"/>
          <c:showSerName val="0"/>
          <c:showPercent val="0"/>
          <c:showBubbleSize val="0"/>
          <c:extLst>
            <c:ext xmlns:c15="http://schemas.microsoft.com/office/drawing/2012/chart" uri="{CE6537A1-D6FC-4f65-9D91-7224C49458BB}"/>
          </c:extLst>
        </c:dLbl>
      </c:pivotFmt>
      <c:pivotFmt>
        <c:idx val="147"/>
        <c:dLbl>
          <c:idx val="0"/>
          <c:showLegendKey val="0"/>
          <c:showVal val="0"/>
          <c:showCatName val="0"/>
          <c:showSerName val="0"/>
          <c:showPercent val="0"/>
          <c:showBubbleSize val="0"/>
          <c:extLst>
            <c:ext xmlns:c15="http://schemas.microsoft.com/office/drawing/2012/chart" uri="{CE6537A1-D6FC-4f65-9D91-7224C49458BB}"/>
          </c:extLst>
        </c:dLbl>
      </c:pivotFmt>
      <c:pivotFmt>
        <c:idx val="148"/>
        <c:dLbl>
          <c:idx val="0"/>
          <c:showLegendKey val="0"/>
          <c:showVal val="0"/>
          <c:showCatName val="0"/>
          <c:showSerName val="0"/>
          <c:showPercent val="0"/>
          <c:showBubbleSize val="0"/>
          <c:extLst>
            <c:ext xmlns:c15="http://schemas.microsoft.com/office/drawing/2012/chart" uri="{CE6537A1-D6FC-4f65-9D91-7224C49458BB}"/>
          </c:extLst>
        </c:dLbl>
      </c:pivotFmt>
      <c:pivotFmt>
        <c:idx val="149"/>
        <c:dLbl>
          <c:idx val="0"/>
          <c:showLegendKey val="0"/>
          <c:showVal val="0"/>
          <c:showCatName val="0"/>
          <c:showSerName val="0"/>
          <c:showPercent val="0"/>
          <c:showBubbleSize val="0"/>
          <c:extLst>
            <c:ext xmlns:c15="http://schemas.microsoft.com/office/drawing/2012/chart" uri="{CE6537A1-D6FC-4f65-9D91-7224C49458BB}"/>
          </c:extLst>
        </c:dLbl>
      </c:pivotFmt>
      <c:pivotFmt>
        <c:idx val="150"/>
        <c:dLbl>
          <c:idx val="0"/>
          <c:showLegendKey val="0"/>
          <c:showVal val="0"/>
          <c:showCatName val="0"/>
          <c:showSerName val="0"/>
          <c:showPercent val="0"/>
          <c:showBubbleSize val="0"/>
          <c:extLst>
            <c:ext xmlns:c15="http://schemas.microsoft.com/office/drawing/2012/chart" uri="{CE6537A1-D6FC-4f65-9D91-7224C49458BB}"/>
          </c:extLst>
        </c:dLbl>
      </c:pivotFmt>
      <c:pivotFmt>
        <c:idx val="151"/>
        <c:dLbl>
          <c:idx val="0"/>
          <c:showLegendKey val="0"/>
          <c:showVal val="0"/>
          <c:showCatName val="0"/>
          <c:showSerName val="0"/>
          <c:showPercent val="0"/>
          <c:showBubbleSize val="0"/>
          <c:extLst>
            <c:ext xmlns:c15="http://schemas.microsoft.com/office/drawing/2012/chart" uri="{CE6537A1-D6FC-4f65-9D91-7224C49458BB}"/>
          </c:extLst>
        </c:dLbl>
      </c:pivotFmt>
      <c:pivotFmt>
        <c:idx val="152"/>
        <c:dLbl>
          <c:idx val="0"/>
          <c:showLegendKey val="0"/>
          <c:showVal val="0"/>
          <c:showCatName val="0"/>
          <c:showSerName val="0"/>
          <c:showPercent val="0"/>
          <c:showBubbleSize val="0"/>
          <c:extLst>
            <c:ext xmlns:c15="http://schemas.microsoft.com/office/drawing/2012/chart" uri="{CE6537A1-D6FC-4f65-9D91-7224C49458BB}"/>
          </c:extLst>
        </c:dLbl>
      </c:pivotFmt>
      <c:pivotFmt>
        <c:idx val="153"/>
        <c:dLbl>
          <c:idx val="0"/>
          <c:showLegendKey val="0"/>
          <c:showVal val="0"/>
          <c:showCatName val="0"/>
          <c:showSerName val="0"/>
          <c:showPercent val="0"/>
          <c:showBubbleSize val="0"/>
          <c:extLst>
            <c:ext xmlns:c15="http://schemas.microsoft.com/office/drawing/2012/chart" uri="{CE6537A1-D6FC-4f65-9D91-7224C49458BB}"/>
          </c:extLst>
        </c:dLbl>
      </c:pivotFmt>
      <c:pivotFmt>
        <c:idx val="154"/>
        <c:dLbl>
          <c:idx val="0"/>
          <c:showLegendKey val="0"/>
          <c:showVal val="0"/>
          <c:showCatName val="0"/>
          <c:showSerName val="0"/>
          <c:showPercent val="0"/>
          <c:showBubbleSize val="0"/>
          <c:extLst>
            <c:ext xmlns:c15="http://schemas.microsoft.com/office/drawing/2012/chart" uri="{CE6537A1-D6FC-4f65-9D91-7224C49458BB}"/>
          </c:extLst>
        </c:dLbl>
      </c:pivotFmt>
      <c:pivotFmt>
        <c:idx val="155"/>
        <c:dLbl>
          <c:idx val="0"/>
          <c:showLegendKey val="0"/>
          <c:showVal val="0"/>
          <c:showCatName val="0"/>
          <c:showSerName val="0"/>
          <c:showPercent val="0"/>
          <c:showBubbleSize val="0"/>
          <c:extLst>
            <c:ext xmlns:c15="http://schemas.microsoft.com/office/drawing/2012/chart" uri="{CE6537A1-D6FC-4f65-9D91-7224C49458BB}"/>
          </c:extLst>
        </c:dLbl>
      </c:pivotFmt>
      <c:pivotFmt>
        <c:idx val="156"/>
        <c:dLbl>
          <c:idx val="0"/>
          <c:showLegendKey val="0"/>
          <c:showVal val="0"/>
          <c:showCatName val="0"/>
          <c:showSerName val="0"/>
          <c:showPercent val="0"/>
          <c:showBubbleSize val="0"/>
          <c:extLst>
            <c:ext xmlns:c15="http://schemas.microsoft.com/office/drawing/2012/chart" uri="{CE6537A1-D6FC-4f65-9D91-7224C49458BB}"/>
          </c:extLst>
        </c:dLbl>
      </c:pivotFmt>
      <c:pivotFmt>
        <c:idx val="157"/>
        <c:dLbl>
          <c:idx val="0"/>
          <c:showLegendKey val="0"/>
          <c:showVal val="0"/>
          <c:showCatName val="0"/>
          <c:showSerName val="0"/>
          <c:showPercent val="0"/>
          <c:showBubbleSize val="0"/>
          <c:extLst>
            <c:ext xmlns:c15="http://schemas.microsoft.com/office/drawing/2012/chart" uri="{CE6537A1-D6FC-4f65-9D91-7224C49458BB}"/>
          </c:extLst>
        </c:dLbl>
      </c:pivotFmt>
      <c:pivotFmt>
        <c:idx val="158"/>
        <c:dLbl>
          <c:idx val="0"/>
          <c:showLegendKey val="0"/>
          <c:showVal val="0"/>
          <c:showCatName val="0"/>
          <c:showSerName val="0"/>
          <c:showPercent val="0"/>
          <c:showBubbleSize val="0"/>
          <c:extLst>
            <c:ext xmlns:c15="http://schemas.microsoft.com/office/drawing/2012/chart" uri="{CE6537A1-D6FC-4f65-9D91-7224C49458BB}"/>
          </c:extLst>
        </c:dLbl>
      </c:pivotFmt>
      <c:pivotFmt>
        <c:idx val="159"/>
        <c:dLbl>
          <c:idx val="0"/>
          <c:showLegendKey val="0"/>
          <c:showVal val="0"/>
          <c:showCatName val="0"/>
          <c:showSerName val="0"/>
          <c:showPercent val="0"/>
          <c:showBubbleSize val="0"/>
          <c:extLst>
            <c:ext xmlns:c15="http://schemas.microsoft.com/office/drawing/2012/chart" uri="{CE6537A1-D6FC-4f65-9D91-7224C49458BB}"/>
          </c:extLst>
        </c:dLbl>
      </c:pivotFmt>
      <c:pivotFmt>
        <c:idx val="160"/>
        <c:dLbl>
          <c:idx val="0"/>
          <c:showLegendKey val="0"/>
          <c:showVal val="0"/>
          <c:showCatName val="0"/>
          <c:showSerName val="0"/>
          <c:showPercent val="0"/>
          <c:showBubbleSize val="0"/>
          <c:extLst>
            <c:ext xmlns:c15="http://schemas.microsoft.com/office/drawing/2012/chart" uri="{CE6537A1-D6FC-4f65-9D91-7224C49458BB}"/>
          </c:extLst>
        </c:dLbl>
      </c:pivotFmt>
      <c:pivotFmt>
        <c:idx val="161"/>
        <c:dLbl>
          <c:idx val="0"/>
          <c:showLegendKey val="0"/>
          <c:showVal val="0"/>
          <c:showCatName val="0"/>
          <c:showSerName val="0"/>
          <c:showPercent val="0"/>
          <c:showBubbleSize val="0"/>
          <c:extLst>
            <c:ext xmlns:c15="http://schemas.microsoft.com/office/drawing/2012/chart" uri="{CE6537A1-D6FC-4f65-9D91-7224C49458BB}"/>
          </c:extLst>
        </c:dLbl>
      </c:pivotFmt>
      <c:pivotFmt>
        <c:idx val="162"/>
        <c:dLbl>
          <c:idx val="0"/>
          <c:showLegendKey val="0"/>
          <c:showVal val="0"/>
          <c:showCatName val="0"/>
          <c:showSerName val="0"/>
          <c:showPercent val="0"/>
          <c:showBubbleSize val="0"/>
          <c:extLst>
            <c:ext xmlns:c15="http://schemas.microsoft.com/office/drawing/2012/chart" uri="{CE6537A1-D6FC-4f65-9D91-7224C49458BB}"/>
          </c:extLst>
        </c:dLbl>
      </c:pivotFmt>
      <c:pivotFmt>
        <c:idx val="163"/>
        <c:dLbl>
          <c:idx val="0"/>
          <c:showLegendKey val="0"/>
          <c:showVal val="0"/>
          <c:showCatName val="0"/>
          <c:showSerName val="0"/>
          <c:showPercent val="0"/>
          <c:showBubbleSize val="0"/>
          <c:extLst>
            <c:ext xmlns:c15="http://schemas.microsoft.com/office/drawing/2012/chart" uri="{CE6537A1-D6FC-4f65-9D91-7224C49458BB}"/>
          </c:extLst>
        </c:dLbl>
      </c:pivotFmt>
      <c:pivotFmt>
        <c:idx val="164"/>
        <c:dLbl>
          <c:idx val="0"/>
          <c:showLegendKey val="0"/>
          <c:showVal val="0"/>
          <c:showCatName val="0"/>
          <c:showSerName val="0"/>
          <c:showPercent val="0"/>
          <c:showBubbleSize val="0"/>
          <c:extLst>
            <c:ext xmlns:c15="http://schemas.microsoft.com/office/drawing/2012/chart" uri="{CE6537A1-D6FC-4f65-9D91-7224C49458BB}"/>
          </c:extLst>
        </c:dLbl>
      </c:pivotFmt>
      <c:pivotFmt>
        <c:idx val="165"/>
        <c:dLbl>
          <c:idx val="0"/>
          <c:showLegendKey val="0"/>
          <c:showVal val="0"/>
          <c:showCatName val="0"/>
          <c:showSerName val="0"/>
          <c:showPercent val="0"/>
          <c:showBubbleSize val="0"/>
          <c:extLst>
            <c:ext xmlns:c15="http://schemas.microsoft.com/office/drawing/2012/chart" uri="{CE6537A1-D6FC-4f65-9D91-7224C49458BB}"/>
          </c:extLst>
        </c:dLbl>
      </c:pivotFmt>
      <c:pivotFmt>
        <c:idx val="166"/>
        <c:dLbl>
          <c:idx val="0"/>
          <c:showLegendKey val="0"/>
          <c:showVal val="0"/>
          <c:showCatName val="0"/>
          <c:showSerName val="0"/>
          <c:showPercent val="0"/>
          <c:showBubbleSize val="0"/>
          <c:extLst>
            <c:ext xmlns:c15="http://schemas.microsoft.com/office/drawing/2012/chart" uri="{CE6537A1-D6FC-4f65-9D91-7224C49458BB}"/>
          </c:extLst>
        </c:dLbl>
      </c:pivotFmt>
      <c:pivotFmt>
        <c:idx val="167"/>
        <c:dLbl>
          <c:idx val="0"/>
          <c:showLegendKey val="0"/>
          <c:showVal val="0"/>
          <c:showCatName val="0"/>
          <c:showSerName val="0"/>
          <c:showPercent val="0"/>
          <c:showBubbleSize val="0"/>
          <c:extLst>
            <c:ext xmlns:c15="http://schemas.microsoft.com/office/drawing/2012/chart" uri="{CE6537A1-D6FC-4f65-9D91-7224C49458BB}"/>
          </c:extLst>
        </c:dLbl>
      </c:pivotFmt>
      <c:pivotFmt>
        <c:idx val="168"/>
        <c:dLbl>
          <c:idx val="0"/>
          <c:showLegendKey val="0"/>
          <c:showVal val="0"/>
          <c:showCatName val="0"/>
          <c:showSerName val="0"/>
          <c:showPercent val="0"/>
          <c:showBubbleSize val="0"/>
          <c:extLst>
            <c:ext xmlns:c15="http://schemas.microsoft.com/office/drawing/2012/chart" uri="{CE6537A1-D6FC-4f65-9D91-7224C49458BB}"/>
          </c:extLst>
        </c:dLbl>
      </c:pivotFmt>
      <c:pivotFmt>
        <c:idx val="169"/>
        <c:dLbl>
          <c:idx val="0"/>
          <c:showLegendKey val="0"/>
          <c:showVal val="0"/>
          <c:showCatName val="0"/>
          <c:showSerName val="0"/>
          <c:showPercent val="0"/>
          <c:showBubbleSize val="0"/>
          <c:extLst>
            <c:ext xmlns:c15="http://schemas.microsoft.com/office/drawing/2012/chart" uri="{CE6537A1-D6FC-4f65-9D91-7224C49458BB}"/>
          </c:extLst>
        </c:dLbl>
      </c:pivotFmt>
      <c:pivotFmt>
        <c:idx val="170"/>
        <c:dLbl>
          <c:idx val="0"/>
          <c:showLegendKey val="0"/>
          <c:showVal val="0"/>
          <c:showCatName val="0"/>
          <c:showSerName val="0"/>
          <c:showPercent val="0"/>
          <c:showBubbleSize val="0"/>
          <c:extLst>
            <c:ext xmlns:c15="http://schemas.microsoft.com/office/drawing/2012/chart" uri="{CE6537A1-D6FC-4f65-9D91-7224C49458BB}"/>
          </c:extLst>
        </c:dLbl>
      </c:pivotFmt>
      <c:pivotFmt>
        <c:idx val="171"/>
        <c:dLbl>
          <c:idx val="0"/>
          <c:showLegendKey val="0"/>
          <c:showVal val="0"/>
          <c:showCatName val="0"/>
          <c:showSerName val="0"/>
          <c:showPercent val="0"/>
          <c:showBubbleSize val="0"/>
          <c:extLst>
            <c:ext xmlns:c15="http://schemas.microsoft.com/office/drawing/2012/chart" uri="{CE6537A1-D6FC-4f65-9D91-7224C49458BB}"/>
          </c:extLst>
        </c:dLbl>
      </c:pivotFmt>
      <c:pivotFmt>
        <c:idx val="172"/>
        <c:dLbl>
          <c:idx val="0"/>
          <c:showLegendKey val="0"/>
          <c:showVal val="0"/>
          <c:showCatName val="0"/>
          <c:showSerName val="0"/>
          <c:showPercent val="0"/>
          <c:showBubbleSize val="0"/>
          <c:extLst>
            <c:ext xmlns:c15="http://schemas.microsoft.com/office/drawing/2012/chart" uri="{CE6537A1-D6FC-4f65-9D91-7224C49458BB}"/>
          </c:extLst>
        </c:dLbl>
      </c:pivotFmt>
      <c:pivotFmt>
        <c:idx val="173"/>
        <c:dLbl>
          <c:idx val="0"/>
          <c:showLegendKey val="0"/>
          <c:showVal val="0"/>
          <c:showCatName val="0"/>
          <c:showSerName val="0"/>
          <c:showPercent val="0"/>
          <c:showBubbleSize val="0"/>
          <c:extLst>
            <c:ext xmlns:c15="http://schemas.microsoft.com/office/drawing/2012/chart" uri="{CE6537A1-D6FC-4f65-9D91-7224C49458BB}"/>
          </c:extLst>
        </c:dLbl>
      </c:pivotFmt>
      <c:pivotFmt>
        <c:idx val="174"/>
        <c:dLbl>
          <c:idx val="0"/>
          <c:showLegendKey val="0"/>
          <c:showVal val="0"/>
          <c:showCatName val="0"/>
          <c:showSerName val="0"/>
          <c:showPercent val="0"/>
          <c:showBubbleSize val="0"/>
          <c:extLst>
            <c:ext xmlns:c15="http://schemas.microsoft.com/office/drawing/2012/chart" uri="{CE6537A1-D6FC-4f65-9D91-7224C49458BB}"/>
          </c:extLst>
        </c:dLbl>
      </c:pivotFmt>
      <c:pivotFmt>
        <c:idx val="175"/>
        <c:dLbl>
          <c:idx val="0"/>
          <c:showLegendKey val="0"/>
          <c:showVal val="0"/>
          <c:showCatName val="0"/>
          <c:showSerName val="0"/>
          <c:showPercent val="0"/>
          <c:showBubbleSize val="0"/>
          <c:extLst>
            <c:ext xmlns:c15="http://schemas.microsoft.com/office/drawing/2012/chart" uri="{CE6537A1-D6FC-4f65-9D91-7224C49458BB}"/>
          </c:extLst>
        </c:dLbl>
      </c:pivotFmt>
      <c:pivotFmt>
        <c:idx val="176"/>
        <c:dLbl>
          <c:idx val="0"/>
          <c:showLegendKey val="0"/>
          <c:showVal val="0"/>
          <c:showCatName val="0"/>
          <c:showSerName val="0"/>
          <c:showPercent val="0"/>
          <c:showBubbleSize val="0"/>
          <c:extLst>
            <c:ext xmlns:c15="http://schemas.microsoft.com/office/drawing/2012/chart" uri="{CE6537A1-D6FC-4f65-9D91-7224C49458BB}"/>
          </c:extLst>
        </c:dLbl>
      </c:pivotFmt>
      <c:pivotFmt>
        <c:idx val="177"/>
        <c:dLbl>
          <c:idx val="0"/>
          <c:showLegendKey val="0"/>
          <c:showVal val="0"/>
          <c:showCatName val="0"/>
          <c:showSerName val="0"/>
          <c:showPercent val="0"/>
          <c:showBubbleSize val="0"/>
          <c:extLst>
            <c:ext xmlns:c15="http://schemas.microsoft.com/office/drawing/2012/chart" uri="{CE6537A1-D6FC-4f65-9D91-7224C49458BB}"/>
          </c:extLst>
        </c:dLbl>
      </c:pivotFmt>
      <c:pivotFmt>
        <c:idx val="178"/>
        <c:dLbl>
          <c:idx val="0"/>
          <c:showLegendKey val="0"/>
          <c:showVal val="0"/>
          <c:showCatName val="0"/>
          <c:showSerName val="0"/>
          <c:showPercent val="0"/>
          <c:showBubbleSize val="0"/>
          <c:extLst>
            <c:ext xmlns:c15="http://schemas.microsoft.com/office/drawing/2012/chart" uri="{CE6537A1-D6FC-4f65-9D91-7224C49458BB}"/>
          </c:extLst>
        </c:dLbl>
      </c:pivotFmt>
      <c:pivotFmt>
        <c:idx val="179"/>
        <c:dLbl>
          <c:idx val="0"/>
          <c:showLegendKey val="0"/>
          <c:showVal val="0"/>
          <c:showCatName val="0"/>
          <c:showSerName val="0"/>
          <c:showPercent val="0"/>
          <c:showBubbleSize val="0"/>
          <c:extLst>
            <c:ext xmlns:c15="http://schemas.microsoft.com/office/drawing/2012/chart" uri="{CE6537A1-D6FC-4f65-9D91-7224C49458BB}"/>
          </c:extLst>
        </c:dLbl>
      </c:pivotFmt>
      <c:pivotFmt>
        <c:idx val="180"/>
        <c:dLbl>
          <c:idx val="0"/>
          <c:showLegendKey val="0"/>
          <c:showVal val="0"/>
          <c:showCatName val="0"/>
          <c:showSerName val="0"/>
          <c:showPercent val="0"/>
          <c:showBubbleSize val="0"/>
          <c:extLst>
            <c:ext xmlns:c15="http://schemas.microsoft.com/office/drawing/2012/chart" uri="{CE6537A1-D6FC-4f65-9D91-7224C49458BB}"/>
          </c:extLst>
        </c:dLbl>
      </c:pivotFmt>
      <c:pivotFmt>
        <c:idx val="181"/>
        <c:dLbl>
          <c:idx val="0"/>
          <c:showLegendKey val="0"/>
          <c:showVal val="0"/>
          <c:showCatName val="0"/>
          <c:showSerName val="0"/>
          <c:showPercent val="0"/>
          <c:showBubbleSize val="0"/>
          <c:extLst>
            <c:ext xmlns:c15="http://schemas.microsoft.com/office/drawing/2012/chart" uri="{CE6537A1-D6FC-4f65-9D91-7224C49458BB}"/>
          </c:extLst>
        </c:dLbl>
      </c:pivotFmt>
      <c:pivotFmt>
        <c:idx val="182"/>
        <c:spPr>
          <a:solidFill>
            <a:schemeClr val="accent1"/>
          </a:solidFill>
          <a:ln w="34925" cap="rnd">
            <a:solidFill>
              <a:schemeClr val="accent6">
                <a:lumMod val="50000"/>
              </a:schemeClr>
            </a:solidFill>
            <a:round/>
          </a:ln>
          <a:effectLst>
            <a:outerShdw blurRad="57150" dist="19050" dir="5400000">
              <a:srgbClr val="000000">
                <a:alpha val="63000"/>
              </a:srgbClr>
            </a:outerShdw>
          </a:effectLst>
        </c:spPr>
        <c:marker>
          <c:symbol val="circle"/>
          <c:size val="6"/>
          <c:spPr>
            <a:solidFill>
              <a:schemeClr val="tx1">
                <a:lumMod val="95000"/>
                <a:lumOff val="5000"/>
              </a:schemeClr>
            </a:solidFill>
            <a:ln w="9525">
              <a:solidFill>
                <a:schemeClr val="accent1"/>
              </a:solidFill>
              <a:round/>
            </a:ln>
            <a:effectLst>
              <a:outerShdw blurRad="57150" dist="19050" dir="540000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extLst>
            <c:ext xmlns:c15="http://schemas.microsoft.com/office/drawing/2012/chart" uri="{CE6537A1-D6FC-4f65-9D91-7224C49458BB}"/>
          </c:extLst>
        </c:dLbl>
      </c:pivotFmt>
      <c:pivotFmt>
        <c:idx val="183"/>
        <c:spPr>
          <a:solidFill>
            <a:schemeClr val="accent1"/>
          </a:solidFill>
          <a:ln w="34925" cap="rnd">
            <a:solidFill>
              <a:schemeClr val="accent6">
                <a:lumMod val="50000"/>
              </a:schemeClr>
            </a:solidFill>
            <a:round/>
          </a:ln>
          <a:effectLst>
            <a:outerShdw blurRad="57150" dist="19050" dir="5400000">
              <a:srgbClr val="000000">
                <a:alpha val="63000"/>
              </a:srgbClr>
            </a:outerShdw>
          </a:effectLst>
        </c:spPr>
        <c:marker>
          <c:symbol val="circle"/>
          <c:size val="6"/>
          <c:spPr>
            <a:solidFill>
              <a:schemeClr val="tx1">
                <a:lumMod val="95000"/>
                <a:lumOff val="5000"/>
              </a:schemeClr>
            </a:solidFill>
            <a:ln w="9525">
              <a:solidFill>
                <a:schemeClr val="accent1"/>
              </a:solidFill>
              <a:round/>
            </a:ln>
            <a:effectLst>
              <a:outerShdw blurRad="57150" dist="19050" dir="5400000">
                <a:srgbClr val="000000">
                  <a:alpha val="63000"/>
                </a:srgbClr>
              </a:outerShdw>
            </a:effectLst>
          </c:spPr>
        </c:marker>
        <c:dLbl>
          <c:idx val="0"/>
          <c:layout>
            <c:manualLayout>
              <c:x val="-1.6203688165711307E-2"/>
              <c:y val="-5.6718297224390965E-2"/>
            </c:manualLayout>
          </c:layout>
          <c:tx>
            <c:rich>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effectLst>
                      <a:outerShdw blurRad="60007" dir="2000400" sy="-30000" kx="-800400" algn="bl" rotWithShape="0">
                        <a:schemeClr val="tx1">
                          <a:alpha val="20000"/>
                        </a:schemeClr>
                      </a:outerShdw>
                    </a:effectLst>
                    <a:latin typeface="+mn-lt"/>
                    <a:ea typeface="+mn-ea"/>
                    <a:cs typeface="+mn-cs"/>
                  </a:defRPr>
                </a:pPr>
                <a:r>
                  <a:rPr lang="en-US"/>
                  <a:t>19</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effectLst>
                    <a:outerShdw blurRad="60007" dir="2000400" sy="-30000" kx="-800400" algn="bl" rotWithShape="0">
                      <a:schemeClr val="tx1">
                        <a:alpha val="20000"/>
                      </a:schemeClr>
                    </a:outerShdw>
                  </a:effectLst>
                  <a:latin typeface="+mn-lt"/>
                  <a:ea typeface="+mn-ea"/>
                  <a:cs typeface="+mn-cs"/>
                </a:defRPr>
              </a:pPr>
              <a:endParaRPr lang="pt-BR"/>
            </a:p>
          </c:txPr>
          <c:showLegendKey val="0"/>
          <c:showVal val="0"/>
          <c:showCatName val="0"/>
          <c:showSerName val="1"/>
          <c:showPercent val="0"/>
          <c:showBubbleSize val="0"/>
          <c:extLst>
            <c:ext xmlns:c15="http://schemas.microsoft.com/office/drawing/2012/chart" uri="{CE6537A1-D6FC-4f65-9D91-7224C49458BB}">
              <c15:showDataLabelsRange val="0"/>
            </c:ext>
          </c:extLst>
        </c:dLbl>
      </c:pivotFmt>
      <c:pivotFmt>
        <c:idx val="184"/>
        <c:spPr>
          <a:solidFill>
            <a:schemeClr val="accent1"/>
          </a:solidFill>
          <a:ln w="34925" cap="rnd">
            <a:solidFill>
              <a:schemeClr val="accent6">
                <a:lumMod val="50000"/>
              </a:schemeClr>
            </a:solidFill>
            <a:round/>
          </a:ln>
          <a:effectLst>
            <a:outerShdw blurRad="57150" dist="19050" dir="5400000">
              <a:srgbClr val="000000">
                <a:alpha val="63000"/>
              </a:srgbClr>
            </a:outerShdw>
          </a:effectLst>
        </c:spPr>
        <c:marker>
          <c:symbol val="circle"/>
          <c:size val="6"/>
          <c:spPr>
            <a:solidFill>
              <a:schemeClr val="tx1">
                <a:lumMod val="95000"/>
                <a:lumOff val="5000"/>
              </a:schemeClr>
            </a:solidFill>
            <a:ln w="9525">
              <a:solidFill>
                <a:schemeClr val="accent1"/>
              </a:solidFill>
              <a:round/>
            </a:ln>
            <a:effectLst>
              <a:outerShdw blurRad="57150" dist="19050" dir="5400000">
                <a:srgbClr val="000000">
                  <a:alpha val="63000"/>
                </a:srgbClr>
              </a:outerShdw>
            </a:effectLst>
          </c:spPr>
        </c:marker>
        <c:dLbl>
          <c:idx val="0"/>
          <c:layout>
            <c:manualLayout>
              <c:x val="-2.3035230352303572E-2"/>
              <c:y val="-6.0185185185185182E-2"/>
            </c:manualLayout>
          </c:layout>
          <c:tx>
            <c:rich>
              <a:bodyPr/>
              <a:lstStyle/>
              <a:p>
                <a:fld id="{BA9A8020-3EFF-4B13-9273-439EB123CAA9}" type="VALUE">
                  <a:rPr lang="en-US" i="1"/>
                  <a:pPr/>
                  <a:t>[VALUE]</a:t>
                </a:fld>
                <a:endParaRPr lang="pt-BR"/>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85"/>
        <c:spPr>
          <a:solidFill>
            <a:schemeClr val="accent1"/>
          </a:solidFill>
          <a:ln w="34925" cap="rnd">
            <a:solidFill>
              <a:schemeClr val="accent6">
                <a:lumMod val="50000"/>
              </a:schemeClr>
            </a:solidFill>
            <a:round/>
          </a:ln>
          <a:effectLst>
            <a:outerShdw blurRad="57150" dist="19050" dir="5400000">
              <a:srgbClr val="000000">
                <a:alpha val="63000"/>
              </a:srgbClr>
            </a:outerShdw>
          </a:effectLst>
        </c:spPr>
        <c:marker>
          <c:symbol val="circle"/>
          <c:size val="6"/>
          <c:spPr>
            <a:solidFill>
              <a:schemeClr val="tx1">
                <a:lumMod val="95000"/>
                <a:lumOff val="5000"/>
              </a:schemeClr>
            </a:solidFill>
            <a:ln w="9525">
              <a:solidFill>
                <a:schemeClr val="accent1"/>
              </a:solidFill>
              <a:round/>
            </a:ln>
            <a:effectLst>
              <a:outerShdw blurRad="57150" dist="19050" dir="5400000">
                <a:srgbClr val="000000">
                  <a:alpha val="63000"/>
                </a:srgbClr>
              </a:outerShdw>
            </a:effectLst>
          </c:spPr>
        </c:marker>
        <c:dLbl>
          <c:idx val="0"/>
          <c:layout>
            <c:manualLayout>
              <c:x val="-2.6509661123387009E-2"/>
              <c:y val="-5.0926021268944674E-2"/>
            </c:manualLayout>
          </c:layout>
          <c:showLegendKey val="0"/>
          <c:showVal val="1"/>
          <c:showCatName val="0"/>
          <c:showSerName val="0"/>
          <c:showPercent val="0"/>
          <c:showBubbleSize val="0"/>
          <c:extLst>
            <c:ext xmlns:c15="http://schemas.microsoft.com/office/drawing/2012/chart" uri="{CE6537A1-D6FC-4f65-9D91-7224C49458BB}"/>
          </c:extLst>
        </c:dLbl>
      </c:pivotFmt>
      <c:pivotFmt>
        <c:idx val="186"/>
        <c:spPr>
          <a:solidFill>
            <a:schemeClr val="accent1"/>
          </a:solidFill>
          <a:ln w="34925" cap="rnd">
            <a:solidFill>
              <a:schemeClr val="accent6">
                <a:lumMod val="50000"/>
              </a:schemeClr>
            </a:solidFill>
            <a:round/>
          </a:ln>
          <a:effectLst>
            <a:outerShdw blurRad="57150" dist="19050" dir="5400000">
              <a:srgbClr val="000000">
                <a:alpha val="63000"/>
              </a:srgbClr>
            </a:outerShdw>
          </a:effectLst>
        </c:spPr>
        <c:marker>
          <c:symbol val="circle"/>
          <c:size val="6"/>
          <c:spPr>
            <a:solidFill>
              <a:schemeClr val="tx1">
                <a:lumMod val="95000"/>
                <a:lumOff val="5000"/>
              </a:schemeClr>
            </a:solidFill>
            <a:ln w="9525">
              <a:solidFill>
                <a:schemeClr val="accent1"/>
              </a:solidFill>
              <a:round/>
            </a:ln>
            <a:effectLst>
              <a:outerShdw blurRad="57150" dist="19050" dir="5400000">
                <a:srgbClr val="000000">
                  <a:alpha val="63000"/>
                </a:srgbClr>
              </a:outerShdw>
            </a:effectLst>
          </c:spPr>
        </c:marker>
        <c:dLbl>
          <c:idx val="0"/>
          <c:layout>
            <c:manualLayout>
              <c:x val="-1.0840108401084011E-2"/>
              <c:y val="-5.0925925925925923E-2"/>
            </c:manualLayout>
          </c:layout>
          <c:showLegendKey val="0"/>
          <c:showVal val="1"/>
          <c:showCatName val="0"/>
          <c:showSerName val="0"/>
          <c:showPercent val="0"/>
          <c:showBubbleSize val="0"/>
          <c:extLst>
            <c:ext xmlns:c15="http://schemas.microsoft.com/office/drawing/2012/chart" uri="{CE6537A1-D6FC-4f65-9D91-7224C49458BB}"/>
          </c:extLst>
        </c:dLbl>
      </c:pivotFmt>
      <c:pivotFmt>
        <c:idx val="187"/>
        <c:spPr>
          <a:solidFill>
            <a:schemeClr val="accent1"/>
          </a:solidFill>
          <a:ln w="34925" cap="rnd">
            <a:solidFill>
              <a:schemeClr val="accent6">
                <a:lumMod val="50000"/>
              </a:schemeClr>
            </a:solidFill>
            <a:round/>
          </a:ln>
          <a:effectLst>
            <a:outerShdw blurRad="57150" dist="19050" dir="5400000">
              <a:srgbClr val="000000">
                <a:alpha val="63000"/>
              </a:srgbClr>
            </a:outerShdw>
          </a:effectLst>
        </c:spPr>
        <c:marker>
          <c:symbol val="circle"/>
          <c:size val="6"/>
          <c:spPr>
            <a:solidFill>
              <a:schemeClr val="tx1">
                <a:lumMod val="95000"/>
                <a:lumOff val="5000"/>
              </a:schemeClr>
            </a:solidFill>
            <a:ln w="9525">
              <a:solidFill>
                <a:schemeClr val="accent1"/>
              </a:solidFill>
              <a:round/>
            </a:ln>
            <a:effectLst>
              <a:outerShdw blurRad="57150" dist="19050" dir="5400000">
                <a:srgbClr val="000000">
                  <a:alpha val="63000"/>
                </a:srgbClr>
              </a:outerShdw>
            </a:effectLst>
          </c:spPr>
        </c:marker>
        <c:dLbl>
          <c:idx val="0"/>
          <c:layout>
            <c:manualLayout>
              <c:x val="-1.2195121951219513E-2"/>
              <c:y val="-5.5555555555555643E-2"/>
            </c:manualLayout>
          </c:layout>
          <c:showLegendKey val="0"/>
          <c:showVal val="1"/>
          <c:showCatName val="0"/>
          <c:showSerName val="0"/>
          <c:showPercent val="0"/>
          <c:showBubbleSize val="0"/>
          <c:extLst>
            <c:ext xmlns:c15="http://schemas.microsoft.com/office/drawing/2012/chart" uri="{CE6537A1-D6FC-4f65-9D91-7224C49458BB}"/>
          </c:extLst>
        </c:dLbl>
      </c:pivotFmt>
      <c:pivotFmt>
        <c:idx val="188"/>
        <c:spPr>
          <a:solidFill>
            <a:schemeClr val="accent1"/>
          </a:solidFill>
          <a:ln w="34925" cap="rnd">
            <a:solidFill>
              <a:schemeClr val="accent6">
                <a:lumMod val="50000"/>
              </a:schemeClr>
            </a:solidFill>
            <a:round/>
          </a:ln>
          <a:effectLst>
            <a:outerShdw blurRad="57150" dist="19050" dir="5400000">
              <a:srgbClr val="000000">
                <a:alpha val="63000"/>
              </a:srgbClr>
            </a:outerShdw>
          </a:effectLst>
        </c:spPr>
        <c:marker>
          <c:symbol val="circle"/>
          <c:size val="6"/>
          <c:spPr>
            <a:solidFill>
              <a:schemeClr val="tx1">
                <a:lumMod val="95000"/>
                <a:lumOff val="5000"/>
              </a:schemeClr>
            </a:solidFill>
            <a:ln w="9525">
              <a:solidFill>
                <a:schemeClr val="accent1"/>
              </a:solidFill>
              <a:round/>
            </a:ln>
            <a:effectLst>
              <a:outerShdw blurRad="57150" dist="19050" dir="5400000">
                <a:srgbClr val="000000">
                  <a:alpha val="63000"/>
                </a:srgbClr>
              </a:outerShdw>
            </a:effectLst>
          </c:spPr>
        </c:marker>
        <c:dLbl>
          <c:idx val="0"/>
          <c:layout>
            <c:manualLayout>
              <c:x val="-1.0840108401084061E-2"/>
              <c:y val="-3.7037037037037035E-2"/>
            </c:manualLayout>
          </c:layout>
          <c:showLegendKey val="0"/>
          <c:showVal val="1"/>
          <c:showCatName val="0"/>
          <c:showSerName val="0"/>
          <c:showPercent val="0"/>
          <c:showBubbleSize val="0"/>
          <c:extLst>
            <c:ext xmlns:c15="http://schemas.microsoft.com/office/drawing/2012/chart" uri="{CE6537A1-D6FC-4f65-9D91-7224C49458BB}"/>
          </c:extLst>
        </c:dLbl>
      </c:pivotFmt>
      <c:pivotFmt>
        <c:idx val="189"/>
        <c:spPr>
          <a:solidFill>
            <a:schemeClr val="accent1"/>
          </a:solidFill>
          <a:ln w="34925" cap="rnd">
            <a:solidFill>
              <a:schemeClr val="accent6">
                <a:lumMod val="50000"/>
              </a:schemeClr>
            </a:solidFill>
            <a:round/>
          </a:ln>
          <a:effectLst>
            <a:outerShdw blurRad="57150" dist="19050" dir="5400000">
              <a:srgbClr val="000000">
                <a:alpha val="63000"/>
              </a:srgbClr>
            </a:outerShdw>
          </a:effectLst>
        </c:spPr>
        <c:marker>
          <c:symbol val="circle"/>
          <c:size val="6"/>
          <c:spPr>
            <a:solidFill>
              <a:schemeClr val="tx1">
                <a:lumMod val="95000"/>
                <a:lumOff val="5000"/>
              </a:schemeClr>
            </a:solidFill>
            <a:ln w="9525">
              <a:solidFill>
                <a:schemeClr val="accent1"/>
              </a:solidFill>
              <a:round/>
            </a:ln>
            <a:effectLst>
              <a:outerShdw blurRad="57150" dist="19050" dir="5400000">
                <a:srgbClr val="000000">
                  <a:alpha val="63000"/>
                </a:srgbClr>
              </a:outerShdw>
            </a:effectLst>
          </c:spPr>
        </c:marker>
        <c:dLbl>
          <c:idx val="0"/>
          <c:layout>
            <c:manualLayout>
              <c:x val="-1.2195121951219611E-2"/>
              <c:y val="-3.2407407407407406E-2"/>
            </c:manualLayout>
          </c:layout>
          <c:showLegendKey val="0"/>
          <c:showVal val="1"/>
          <c:showCatName val="0"/>
          <c:showSerName val="0"/>
          <c:showPercent val="0"/>
          <c:showBubbleSize val="0"/>
          <c:extLst>
            <c:ext xmlns:c15="http://schemas.microsoft.com/office/drawing/2012/chart" uri="{CE6537A1-D6FC-4f65-9D91-7224C49458BB}"/>
          </c:extLst>
        </c:dLbl>
      </c:pivotFmt>
      <c:pivotFmt>
        <c:idx val="190"/>
        <c:spPr>
          <a:solidFill>
            <a:schemeClr val="accent1"/>
          </a:solidFill>
          <a:ln w="34925" cap="rnd">
            <a:solidFill>
              <a:schemeClr val="accent6">
                <a:lumMod val="50000"/>
              </a:schemeClr>
            </a:solidFill>
            <a:round/>
          </a:ln>
          <a:effectLst>
            <a:outerShdw blurRad="57150" dist="19050" dir="5400000">
              <a:srgbClr val="000000">
                <a:alpha val="63000"/>
              </a:srgbClr>
            </a:outerShdw>
          </a:effectLst>
        </c:spPr>
        <c:marker>
          <c:symbol val="circle"/>
          <c:size val="6"/>
          <c:spPr>
            <a:solidFill>
              <a:schemeClr val="tx1">
                <a:lumMod val="95000"/>
                <a:lumOff val="5000"/>
              </a:schemeClr>
            </a:solidFill>
            <a:ln w="9525">
              <a:solidFill>
                <a:schemeClr val="accent1"/>
              </a:solidFill>
              <a:round/>
            </a:ln>
            <a:effectLst>
              <a:outerShdw blurRad="57150" dist="19050" dir="5400000">
                <a:srgbClr val="000000">
                  <a:alpha val="63000"/>
                </a:srgbClr>
              </a:outerShdw>
            </a:effectLst>
          </c:spPr>
        </c:marker>
        <c:dLbl>
          <c:idx val="0"/>
          <c:layout>
            <c:manualLayout>
              <c:x val="-9.4850948509486097E-3"/>
              <c:y val="-2.3148148148148192E-2"/>
            </c:manualLayout>
          </c:layout>
          <c:showLegendKey val="0"/>
          <c:showVal val="1"/>
          <c:showCatName val="0"/>
          <c:showSerName val="0"/>
          <c:showPercent val="0"/>
          <c:showBubbleSize val="0"/>
          <c:extLst>
            <c:ext xmlns:c15="http://schemas.microsoft.com/office/drawing/2012/chart" uri="{CE6537A1-D6FC-4f65-9D91-7224C49458BB}"/>
          </c:extLst>
        </c:dLbl>
      </c:pivotFmt>
      <c:pivotFmt>
        <c:idx val="191"/>
        <c:spPr>
          <a:solidFill>
            <a:schemeClr val="accent1"/>
          </a:solidFill>
          <a:ln w="34925" cap="rnd">
            <a:solidFill>
              <a:schemeClr val="accent6">
                <a:lumMod val="50000"/>
              </a:schemeClr>
            </a:solidFill>
            <a:round/>
          </a:ln>
          <a:effectLst>
            <a:outerShdw blurRad="57150" dist="19050" dir="5400000">
              <a:srgbClr val="000000">
                <a:alpha val="63000"/>
              </a:srgbClr>
            </a:outerShdw>
          </a:effectLst>
        </c:spPr>
        <c:marker>
          <c:symbol val="circle"/>
          <c:size val="6"/>
          <c:spPr>
            <a:solidFill>
              <a:schemeClr val="tx1">
                <a:lumMod val="95000"/>
                <a:lumOff val="5000"/>
              </a:schemeClr>
            </a:solidFill>
            <a:ln w="9525">
              <a:solidFill>
                <a:schemeClr val="accent1"/>
              </a:solidFill>
              <a:round/>
            </a:ln>
            <a:effectLst>
              <a:outerShdw blurRad="57150" dist="19050" dir="5400000">
                <a:srgbClr val="000000">
                  <a:alpha val="63000"/>
                </a:srgbClr>
              </a:outerShdw>
            </a:effectLst>
          </c:spPr>
        </c:marker>
        <c:dLbl>
          <c:idx val="0"/>
          <c:layout>
            <c:manualLayout>
              <c:x val="0"/>
              <c:y val="-4.1666666666666664E-2"/>
            </c:manualLayout>
          </c:layout>
          <c:showLegendKey val="0"/>
          <c:showVal val="1"/>
          <c:showCatName val="0"/>
          <c:showSerName val="0"/>
          <c:showPercent val="0"/>
          <c:showBubbleSize val="0"/>
          <c:extLst>
            <c:ext xmlns:c15="http://schemas.microsoft.com/office/drawing/2012/chart" uri="{CE6537A1-D6FC-4f65-9D91-7224C49458BB}"/>
          </c:extLst>
        </c:dLbl>
      </c:pivotFmt>
      <c:pivotFmt>
        <c:idx val="192"/>
        <c:spPr>
          <a:solidFill>
            <a:schemeClr val="accent1"/>
          </a:solidFill>
          <a:ln w="34925" cap="rnd">
            <a:solidFill>
              <a:schemeClr val="accent6">
                <a:lumMod val="50000"/>
              </a:schemeClr>
            </a:solidFill>
            <a:round/>
          </a:ln>
          <a:effectLst>
            <a:outerShdw blurRad="57150" dist="19050" dir="5400000">
              <a:srgbClr val="000000">
                <a:alpha val="63000"/>
              </a:srgbClr>
            </a:outerShdw>
          </a:effectLst>
        </c:spPr>
        <c:marker>
          <c:symbol val="circle"/>
          <c:size val="6"/>
          <c:spPr>
            <a:solidFill>
              <a:schemeClr val="tx1">
                <a:lumMod val="95000"/>
                <a:lumOff val="5000"/>
              </a:schemeClr>
            </a:solidFill>
            <a:ln w="9525">
              <a:solidFill>
                <a:schemeClr val="accent1"/>
              </a:solidFill>
              <a:round/>
            </a:ln>
            <a:effectLst>
              <a:outerShdw blurRad="57150" dist="19050" dir="5400000">
                <a:srgbClr val="000000">
                  <a:alpha val="63000"/>
                </a:srgbClr>
              </a:outerShdw>
            </a:effectLst>
          </c:spPr>
        </c:marker>
        <c:dLbl>
          <c:idx val="0"/>
          <c:layout>
            <c:manualLayout>
              <c:x val="-2.0325203252032419E-2"/>
              <c:y val="-4.1666666666666664E-2"/>
            </c:manualLayout>
          </c:layout>
          <c:showLegendKey val="0"/>
          <c:showVal val="1"/>
          <c:showCatName val="0"/>
          <c:showSerName val="0"/>
          <c:showPercent val="0"/>
          <c:showBubbleSize val="0"/>
          <c:extLst>
            <c:ext xmlns:c15="http://schemas.microsoft.com/office/drawing/2012/chart" uri="{CE6537A1-D6FC-4f65-9D91-7224C49458BB}"/>
          </c:extLst>
        </c:dLbl>
      </c:pivotFmt>
      <c:pivotFmt>
        <c:idx val="193"/>
        <c:spPr>
          <a:ln w="34925" cap="rnd">
            <a:solidFill>
              <a:schemeClr val="accent1"/>
            </a:solidFill>
            <a:round/>
          </a:ln>
          <a:effectLst>
            <a:outerShdw blurRad="57150" dist="19050" dir="5400000">
              <a:srgbClr val="000000">
                <a:alpha val="63000"/>
              </a:srgbClr>
            </a:outerShdw>
          </a:effectLst>
        </c:spPr>
        <c:marker>
          <c:symbol val="circle"/>
          <c:size val="6"/>
          <c:spPr>
            <a:solidFill>
              <a:schemeClr val="accent1"/>
            </a:solidFill>
            <a:ln w="9525">
              <a:solidFill>
                <a:schemeClr val="accent1"/>
              </a:solidFill>
              <a:round/>
            </a:ln>
            <a:effectLst>
              <a:outerShdw blurRad="57150" dist="19050" dir="540000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0313942751615882E-2"/>
          <c:y val="0.13149938042131354"/>
          <c:w val="0.95937211449676829"/>
          <c:h val="0.68907921825756913"/>
        </c:manualLayout>
      </c:layout>
      <c:lineChart>
        <c:grouping val="standard"/>
        <c:varyColors val="0"/>
        <c:ser>
          <c:idx val="0"/>
          <c:order val="0"/>
          <c:tx>
            <c:strRef>
              <c:f>PivotTable!$B$3</c:f>
              <c:strCache>
                <c:ptCount val="1"/>
                <c:pt idx="0">
                  <c:v>Total</c:v>
                </c:pt>
              </c:strCache>
            </c:strRef>
          </c:tx>
          <c:spPr>
            <a:ln w="34925" cap="rnd">
              <a:solidFill>
                <a:schemeClr val="accent1"/>
              </a:solidFill>
              <a:round/>
            </a:ln>
            <a:effectLst>
              <a:outerShdw blurRad="57150" dist="19050" dir="5400000">
                <a:srgbClr val="000000">
                  <a:alpha val="63000"/>
                </a:srgbClr>
              </a:outerShdw>
            </a:effectLst>
          </c:spPr>
          <c:marker>
            <c:symbol val="circle"/>
            <c:size val="6"/>
            <c:spPr>
              <a:solidFill>
                <a:schemeClr val="accent1"/>
              </a:solidFill>
              <a:ln w="9525">
                <a:solidFill>
                  <a:schemeClr val="accent1"/>
                </a:solidFill>
                <a:round/>
              </a:ln>
              <a:effectLst>
                <a:outerShdw blurRad="57150" dist="19050" dir="540000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PivotTable!$A$4:$A$16</c:f>
              <c:strCache>
                <c:ptCount val="12"/>
                <c:pt idx="0">
                  <c:v>Janeiro</c:v>
                </c:pt>
                <c:pt idx="1">
                  <c:v>Fevereiro</c:v>
                </c:pt>
                <c:pt idx="2">
                  <c:v>Março</c:v>
                </c:pt>
                <c:pt idx="3">
                  <c:v>Abril</c:v>
                </c:pt>
                <c:pt idx="4">
                  <c:v>Maio</c:v>
                </c:pt>
                <c:pt idx="5">
                  <c:v>Junho</c:v>
                </c:pt>
                <c:pt idx="6">
                  <c:v>Julho</c:v>
                </c:pt>
                <c:pt idx="7">
                  <c:v>Agosto</c:v>
                </c:pt>
                <c:pt idx="8">
                  <c:v>Setembro</c:v>
                </c:pt>
                <c:pt idx="9">
                  <c:v>Outubro</c:v>
                </c:pt>
                <c:pt idx="10">
                  <c:v>Novembro</c:v>
                </c:pt>
                <c:pt idx="11">
                  <c:v>Dezembro</c:v>
                </c:pt>
              </c:strCache>
            </c:strRef>
          </c:cat>
          <c:val>
            <c:numRef>
              <c:f>PivotTable!$B$4:$B$16</c:f>
              <c:numCache>
                <c:formatCode>General</c:formatCode>
                <c:ptCount val="12"/>
                <c:pt idx="0">
                  <c:v>16</c:v>
                </c:pt>
                <c:pt idx="1">
                  <c:v>21</c:v>
                </c:pt>
                <c:pt idx="2">
                  <c:v>22</c:v>
                </c:pt>
                <c:pt idx="3">
                  <c:v>20</c:v>
                </c:pt>
                <c:pt idx="4">
                  <c:v>15</c:v>
                </c:pt>
                <c:pt idx="5">
                  <c:v>13</c:v>
                </c:pt>
                <c:pt idx="6">
                  <c:v>28</c:v>
                </c:pt>
                <c:pt idx="7">
                  <c:v>26</c:v>
                </c:pt>
                <c:pt idx="8">
                  <c:v>15</c:v>
                </c:pt>
                <c:pt idx="9">
                  <c:v>13</c:v>
                </c:pt>
                <c:pt idx="10">
                  <c:v>32</c:v>
                </c:pt>
                <c:pt idx="11">
                  <c:v>19</c:v>
                </c:pt>
              </c:numCache>
            </c:numRef>
          </c:val>
          <c:smooth val="0"/>
          <c:extLst>
            <c:ext xmlns:c16="http://schemas.microsoft.com/office/drawing/2014/chart" uri="{C3380CC4-5D6E-409C-BE32-E72D297353CC}">
              <c16:uniqueId val="{000000B7-50B8-4508-9EF2-02609FD85DCC}"/>
            </c:ext>
          </c:extLst>
        </c:ser>
        <c:dLbls>
          <c:showLegendKey val="0"/>
          <c:showVal val="1"/>
          <c:showCatName val="0"/>
          <c:showSerName val="0"/>
          <c:showPercent val="0"/>
          <c:showBubbleSize val="0"/>
        </c:dLbls>
        <c:marker val="1"/>
        <c:smooth val="0"/>
        <c:axId val="984772879"/>
        <c:axId val="984774319"/>
      </c:lineChart>
      <c:catAx>
        <c:axId val="98477287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984774319"/>
        <c:crosses val="autoZero"/>
        <c:auto val="1"/>
        <c:lblAlgn val="ctr"/>
        <c:lblOffset val="100"/>
        <c:noMultiLvlLbl val="0"/>
      </c:catAx>
      <c:valAx>
        <c:axId val="984774319"/>
        <c:scaling>
          <c:orientation val="minMax"/>
        </c:scaling>
        <c:delete val="1"/>
        <c:axPos val="l"/>
        <c:numFmt formatCode="General" sourceLinked="1"/>
        <c:majorTickMark val="none"/>
        <c:minorTickMark val="none"/>
        <c:tickLblPos val="nextTo"/>
        <c:crossAx val="9847728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[Dashboard.xlsx]PivotTable!Tabela dinâmica10</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PivotTable!$B$20</c:f>
              <c:strCache>
                <c:ptCount val="1"/>
                <c:pt idx="0">
                  <c:v>Total</c:v>
                </c:pt>
              </c:strCache>
            </c:strRef>
          </c:tx>
          <c:spPr>
            <a:solidFill>
              <a:schemeClr val="accent1"/>
            </a:solidFill>
            <a:ln>
              <a:noFill/>
            </a:ln>
            <a:effectLst/>
          </c:spPr>
          <c:invertIfNegative val="0"/>
          <c:cat>
            <c:strRef>
              <c:f>PivotTable!$A$21:$A$32</c:f>
              <c:strCache>
                <c:ptCount val="12"/>
                <c:pt idx="0">
                  <c:v>Acesso à informação</c:v>
                </c:pt>
                <c:pt idx="1">
                  <c:v>Agilidade de resposta</c:v>
                </c:pt>
                <c:pt idx="2">
                  <c:v>Áreas protegidas</c:v>
                </c:pt>
                <c:pt idx="3">
                  <c:v>Atendimento ao cidadão</c:v>
                </c:pt>
                <c:pt idx="4">
                  <c:v>Competência de outro órgão</c:v>
                </c:pt>
                <c:pt idx="5">
                  <c:v>Desmatamento</c:v>
                </c:pt>
                <c:pt idx="6">
                  <c:v>Educação ambiental</c:v>
                </c:pt>
                <c:pt idx="7">
                  <c:v>Fiscalização ambiental</c:v>
                </c:pt>
                <c:pt idx="8">
                  <c:v>Licenciamento ambiental</c:v>
                </c:pt>
                <c:pt idx="9">
                  <c:v>Processo administrativo</c:v>
                </c:pt>
                <c:pt idx="10">
                  <c:v>Queimada</c:v>
                </c:pt>
                <c:pt idx="11">
                  <c:v>Resíduos sólidos</c:v>
                </c:pt>
              </c:strCache>
            </c:strRef>
          </c:cat>
          <c:val>
            <c:numRef>
              <c:f>PivotTable!$B$21:$B$32</c:f>
              <c:numCache>
                <c:formatCode>General</c:formatCode>
                <c:ptCount val="12"/>
                <c:pt idx="0">
                  <c:v>16</c:v>
                </c:pt>
                <c:pt idx="1">
                  <c:v>8</c:v>
                </c:pt>
                <c:pt idx="2">
                  <c:v>24</c:v>
                </c:pt>
                <c:pt idx="3">
                  <c:v>17</c:v>
                </c:pt>
                <c:pt idx="4">
                  <c:v>6</c:v>
                </c:pt>
                <c:pt idx="5">
                  <c:v>28</c:v>
                </c:pt>
                <c:pt idx="6">
                  <c:v>14</c:v>
                </c:pt>
                <c:pt idx="7">
                  <c:v>33</c:v>
                </c:pt>
                <c:pt idx="8">
                  <c:v>28</c:v>
                </c:pt>
                <c:pt idx="9">
                  <c:v>14</c:v>
                </c:pt>
                <c:pt idx="10">
                  <c:v>24</c:v>
                </c:pt>
                <c:pt idx="11">
                  <c:v>28</c:v>
                </c:pt>
              </c:numCache>
            </c:numRef>
          </c:val>
          <c:extLst>
            <c:ext xmlns:c16="http://schemas.microsoft.com/office/drawing/2014/chart" uri="{C3380CC4-5D6E-409C-BE32-E72D297353CC}">
              <c16:uniqueId val="{00000003-9FF6-4244-B714-A35BAE7AFA6D}"/>
            </c:ext>
          </c:extLst>
        </c:ser>
        <c:dLbls>
          <c:showLegendKey val="0"/>
          <c:showVal val="0"/>
          <c:showCatName val="0"/>
          <c:showSerName val="0"/>
          <c:showPercent val="0"/>
          <c:showBubbleSize val="0"/>
        </c:dLbls>
        <c:gapWidth val="182"/>
        <c:axId val="1303216463"/>
        <c:axId val="1303210703"/>
      </c:barChart>
      <c:catAx>
        <c:axId val="13032164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303210703"/>
        <c:crosses val="autoZero"/>
        <c:auto val="1"/>
        <c:lblAlgn val="ctr"/>
        <c:lblOffset val="100"/>
        <c:noMultiLvlLbl val="0"/>
      </c:catAx>
      <c:valAx>
        <c:axId val="130321070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3032164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[Dashboard.xlsx]PivotTable!Tabela dinâmica11</c:name>
    <c:fmtId val="5"/>
  </c:pivotSource>
  <c:chart>
    <c:autoTitleDeleted val="1"/>
    <c:pivotFmts>
      <c:pivotFmt>
        <c:idx val="0"/>
        <c:marker>
          <c:symbol val="none"/>
        </c:marker>
        <c:dLbl>
          <c:idx val="0"/>
          <c:spPr>
            <a:solidFill>
              <a:sysClr val="window" lastClr="FFFFFF"/>
            </a:solidFill>
            <a:ln>
              <a:solidFill>
                <a:srgbClr val="4EA72E"/>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solidFill>
                  <a:latin typeface="+mn-lt"/>
                  <a:ea typeface="+mn-ea"/>
                  <a:cs typeface="+mn-cs"/>
                </a:defRPr>
              </a:pPr>
              <a:endParaRPr lang="pt-BR"/>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
        <c:spPr>
          <a:solidFill>
            <a:schemeClr val="accent6">
              <a:shade val="50000"/>
            </a:schemeClr>
          </a:solidFill>
          <a:ln>
            <a:noFill/>
          </a:ln>
          <a:effectLst>
            <a:outerShdw blurRad="63500" sx="102000" sy="102000" algn="ctr" rotWithShape="0">
              <a:prstClr val="black">
                <a:alpha val="20000"/>
              </a:prstClr>
            </a:outerShdw>
          </a:effectLst>
        </c:spPr>
      </c:pivotFmt>
      <c:pivotFmt>
        <c:idx val="2"/>
        <c:spPr>
          <a:solidFill>
            <a:schemeClr val="accent6">
              <a:shade val="70000"/>
            </a:schemeClr>
          </a:solidFill>
          <a:ln>
            <a:noFill/>
          </a:ln>
          <a:effectLst>
            <a:outerShdw blurRad="63500" sx="102000" sy="102000" algn="ctr" rotWithShape="0">
              <a:prstClr val="black">
                <a:alpha val="20000"/>
              </a:prstClr>
            </a:outerShdw>
          </a:effectLst>
        </c:spPr>
      </c:pivotFmt>
      <c:pivotFmt>
        <c:idx val="3"/>
        <c:spPr>
          <a:solidFill>
            <a:schemeClr val="accent6">
              <a:shade val="90000"/>
            </a:schemeClr>
          </a:solidFill>
          <a:ln>
            <a:noFill/>
          </a:ln>
          <a:effectLst>
            <a:outerShdw blurRad="63500" sx="102000" sy="102000" algn="ctr" rotWithShape="0">
              <a:prstClr val="black">
                <a:alpha val="20000"/>
              </a:prstClr>
            </a:outerShdw>
          </a:effectLst>
        </c:spPr>
      </c:pivotFmt>
      <c:pivotFmt>
        <c:idx val="4"/>
        <c:spPr>
          <a:solidFill>
            <a:schemeClr val="accent6">
              <a:tint val="90000"/>
            </a:schemeClr>
          </a:solidFill>
          <a:ln>
            <a:noFill/>
          </a:ln>
          <a:effectLst>
            <a:outerShdw blurRad="63500" sx="102000" sy="102000" algn="ctr" rotWithShape="0">
              <a:prstClr val="black">
                <a:alpha val="20000"/>
              </a:prstClr>
            </a:outerShdw>
          </a:effectLst>
        </c:spPr>
      </c:pivotFmt>
      <c:pivotFmt>
        <c:idx val="5"/>
        <c:spPr>
          <a:solidFill>
            <a:schemeClr val="accent6">
              <a:tint val="70000"/>
            </a:schemeClr>
          </a:solidFill>
          <a:ln>
            <a:noFill/>
          </a:ln>
          <a:effectLst>
            <a:outerShdw blurRad="63500" sx="102000" sy="102000" algn="ctr" rotWithShape="0">
              <a:prstClr val="black">
                <a:alpha val="20000"/>
              </a:prstClr>
            </a:outerShdw>
          </a:effectLst>
        </c:spPr>
      </c:pivotFmt>
      <c:pivotFmt>
        <c:idx val="6"/>
        <c:spPr>
          <a:solidFill>
            <a:schemeClr val="accent6">
              <a:tint val="50000"/>
            </a:schemeClr>
          </a:solidFill>
          <a:ln>
            <a:noFill/>
          </a:ln>
          <a:effectLst>
            <a:outerShdw blurRad="63500" sx="102000" sy="102000" algn="ctr" rotWithShape="0">
              <a:prstClr val="black">
                <a:alpha val="20000"/>
              </a:prstClr>
            </a:outerShdw>
          </a:effectLst>
        </c:spPr>
      </c:pivotFmt>
      <c:pivotFmt>
        <c:idx val="7"/>
        <c:marker>
          <c:symbol val="none"/>
        </c:marker>
        <c:dLbl>
          <c:idx val="0"/>
          <c:delete val="1"/>
          <c:extLst>
            <c:ext xmlns:c15="http://schemas.microsoft.com/office/drawing/2012/chart" uri="{CE6537A1-D6FC-4f65-9D91-7224C49458BB}"/>
          </c:extLst>
        </c:dLbl>
      </c:pivotFmt>
    </c:pivotFmts>
    <c:plotArea>
      <c:layout/>
      <c:pieChart>
        <c:varyColors val="1"/>
        <c:ser>
          <c:idx val="0"/>
          <c:order val="0"/>
          <c:tx>
            <c:strRef>
              <c:f>PivotTable!$B$40</c:f>
              <c:strCache>
                <c:ptCount val="1"/>
                <c:pt idx="0">
                  <c:v>Total</c:v>
                </c:pt>
              </c:strCache>
            </c:strRef>
          </c:tx>
          <c:cat>
            <c:strRef>
              <c:f>PivotTable!$A$41:$A$46</c:f>
              <c:strCache>
                <c:ptCount val="6"/>
                <c:pt idx="0">
                  <c:v>Denúncia</c:v>
                </c:pt>
                <c:pt idx="1">
                  <c:v>Elogio</c:v>
                </c:pt>
                <c:pt idx="2">
                  <c:v>Pedido de Informação</c:v>
                </c:pt>
                <c:pt idx="3">
                  <c:v>Reclamação</c:v>
                </c:pt>
                <c:pt idx="4">
                  <c:v>Solicitação</c:v>
                </c:pt>
                <c:pt idx="5">
                  <c:v>Sugestão</c:v>
                </c:pt>
              </c:strCache>
            </c:strRef>
          </c:cat>
          <c:val>
            <c:numRef>
              <c:f>PivotTable!$B$41:$B$46</c:f>
              <c:numCache>
                <c:formatCode>General</c:formatCode>
                <c:ptCount val="6"/>
                <c:pt idx="0">
                  <c:v>32</c:v>
                </c:pt>
                <c:pt idx="1">
                  <c:v>35</c:v>
                </c:pt>
                <c:pt idx="2">
                  <c:v>35</c:v>
                </c:pt>
                <c:pt idx="3">
                  <c:v>52</c:v>
                </c:pt>
                <c:pt idx="4">
                  <c:v>65</c:v>
                </c:pt>
                <c:pt idx="5">
                  <c:v>21</c:v>
                </c:pt>
              </c:numCache>
            </c:numRef>
          </c:val>
          <c:extLst>
            <c:ext xmlns:c16="http://schemas.microsoft.com/office/drawing/2014/chart" uri="{C3380CC4-5D6E-409C-BE32-E72D297353CC}">
              <c16:uniqueId val="{00000009-1C8C-4E51-801E-5CCF3DBAE3E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[Dashboard.xlsx]PivotTable!Tabela dinâmica12</c:name>
    <c:fmtId val="8"/>
  </c:pivotSource>
  <c:chart>
    <c:autoTitleDeleted val="1"/>
    <c:pivotFmts>
      <c:pivotFmt>
        <c:idx val="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117527472551081"/>
          <c:y val="0.19001974067535721"/>
          <c:w val="0.76613648293963255"/>
          <c:h val="0.72088764946048411"/>
        </c:manualLayout>
      </c:layout>
      <c:barChart>
        <c:barDir val="bar"/>
        <c:grouping val="clustered"/>
        <c:varyColors val="0"/>
        <c:ser>
          <c:idx val="0"/>
          <c:order val="0"/>
          <c:tx>
            <c:strRef>
              <c:f>PivotTable!$B$62</c:f>
              <c:strCache>
                <c:ptCount val="1"/>
                <c:pt idx="0">
                  <c:v>Total</c:v>
                </c:pt>
              </c:strCache>
            </c:strRef>
          </c:tx>
          <c:spPr>
            <a:solidFill>
              <a:schemeClr val="accent1"/>
            </a:solidFill>
            <a:ln>
              <a:noFill/>
            </a:ln>
            <a:effectLst/>
          </c:spPr>
          <c:invertIfNegative val="0"/>
          <c:cat>
            <c:strRef>
              <c:f>PivotTable!$A$63:$A$75</c:f>
              <c:strCache>
                <c:ptCount val="13"/>
                <c:pt idx="0">
                  <c:v>AC</c:v>
                </c:pt>
                <c:pt idx="1">
                  <c:v>AM</c:v>
                </c:pt>
                <c:pt idx="2">
                  <c:v>DF</c:v>
                </c:pt>
                <c:pt idx="3">
                  <c:v>GO</c:v>
                </c:pt>
                <c:pt idx="4">
                  <c:v>MA</c:v>
                </c:pt>
                <c:pt idx="5">
                  <c:v>MG</c:v>
                </c:pt>
                <c:pt idx="6">
                  <c:v>MT</c:v>
                </c:pt>
                <c:pt idx="7">
                  <c:v>PA</c:v>
                </c:pt>
                <c:pt idx="8">
                  <c:v>RJ</c:v>
                </c:pt>
                <c:pt idx="9">
                  <c:v>RO</c:v>
                </c:pt>
                <c:pt idx="10">
                  <c:v>RR</c:v>
                </c:pt>
                <c:pt idx="11">
                  <c:v>SP</c:v>
                </c:pt>
                <c:pt idx="12">
                  <c:v>TO</c:v>
                </c:pt>
              </c:strCache>
            </c:strRef>
          </c:cat>
          <c:val>
            <c:numRef>
              <c:f>PivotTable!$B$63:$B$75</c:f>
              <c:numCache>
                <c:formatCode>General</c:formatCode>
                <c:ptCount val="13"/>
                <c:pt idx="0">
                  <c:v>6</c:v>
                </c:pt>
                <c:pt idx="1">
                  <c:v>42</c:v>
                </c:pt>
                <c:pt idx="2">
                  <c:v>47</c:v>
                </c:pt>
                <c:pt idx="3">
                  <c:v>14</c:v>
                </c:pt>
                <c:pt idx="4">
                  <c:v>8</c:v>
                </c:pt>
                <c:pt idx="5">
                  <c:v>15</c:v>
                </c:pt>
                <c:pt idx="6">
                  <c:v>18</c:v>
                </c:pt>
                <c:pt idx="7">
                  <c:v>32</c:v>
                </c:pt>
                <c:pt idx="8">
                  <c:v>8</c:v>
                </c:pt>
                <c:pt idx="9">
                  <c:v>18</c:v>
                </c:pt>
                <c:pt idx="10">
                  <c:v>8</c:v>
                </c:pt>
                <c:pt idx="11">
                  <c:v>12</c:v>
                </c:pt>
                <c:pt idx="12">
                  <c:v>12</c:v>
                </c:pt>
              </c:numCache>
            </c:numRef>
          </c:val>
          <c:extLst>
            <c:ext xmlns:c16="http://schemas.microsoft.com/office/drawing/2014/chart" uri="{C3380CC4-5D6E-409C-BE32-E72D297353CC}">
              <c16:uniqueId val="{00000002-E7BA-406E-8987-9AC7C801ECF1}"/>
            </c:ext>
          </c:extLst>
        </c:ser>
        <c:dLbls>
          <c:showLegendKey val="0"/>
          <c:showVal val="0"/>
          <c:showCatName val="0"/>
          <c:showSerName val="0"/>
          <c:showPercent val="0"/>
          <c:showBubbleSize val="0"/>
        </c:dLbls>
        <c:gapWidth val="182"/>
        <c:axId val="1303220783"/>
        <c:axId val="1303225583"/>
      </c:barChart>
      <c:catAx>
        <c:axId val="13032207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303225583"/>
        <c:crosses val="autoZero"/>
        <c:auto val="1"/>
        <c:lblAlgn val="ctr"/>
        <c:lblOffset val="100"/>
        <c:noMultiLvlLbl val="0"/>
      </c:catAx>
      <c:valAx>
        <c:axId val="130322558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3032207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[Dashboard.xlsx]PivotTable!Tabela dinâmica17</c:name>
    <c:fmtId val="9"/>
  </c:pivotSource>
  <c:chart>
    <c:autoTitleDeleted val="1"/>
    <c:pivotFmts>
      <c:pivotFmt>
        <c:idx val="0"/>
        <c:spPr>
          <a:solidFill>
            <a:schemeClr val="accent6"/>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pt-BR"/>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6">
              <a:tint val="54000"/>
            </a:schemeClr>
          </a:solidFill>
          <a:ln>
            <a:noFill/>
          </a:ln>
          <a:effectLst>
            <a:outerShdw blurRad="317500" algn="ctr" rotWithShape="0">
              <a:prstClr val="black">
                <a:alpha val="25000"/>
              </a:prstClr>
            </a:outerShdw>
          </a:effectLst>
        </c:spPr>
      </c:pivotFmt>
      <c:pivotFmt>
        <c:idx val="2"/>
        <c:spPr>
          <a:solidFill>
            <a:schemeClr val="accent6">
              <a:tint val="77000"/>
            </a:schemeClr>
          </a:solidFill>
          <a:ln>
            <a:noFill/>
          </a:ln>
          <a:effectLst>
            <a:outerShdw blurRad="317500" algn="ctr" rotWithShape="0">
              <a:prstClr val="black">
                <a:alpha val="25000"/>
              </a:prstClr>
            </a:outerShdw>
          </a:effectLst>
        </c:spPr>
      </c:pivotFmt>
      <c:pivotFmt>
        <c:idx val="3"/>
        <c:spPr>
          <a:solidFill>
            <a:schemeClr val="accent6"/>
          </a:solidFill>
          <a:ln>
            <a:noFill/>
          </a:ln>
          <a:effectLst>
            <a:outerShdw blurRad="317500" algn="ctr" rotWithShape="0">
              <a:prstClr val="black">
                <a:alpha val="25000"/>
              </a:prstClr>
            </a:outerShdw>
          </a:effectLst>
        </c:spPr>
      </c:pivotFmt>
      <c:pivotFmt>
        <c:idx val="4"/>
        <c:spPr>
          <a:solidFill>
            <a:schemeClr val="accent6">
              <a:shade val="76000"/>
            </a:schemeClr>
          </a:solidFill>
          <a:ln>
            <a:noFill/>
          </a:ln>
          <a:effectLst>
            <a:outerShdw blurRad="317500" algn="ctr" rotWithShape="0">
              <a:prstClr val="black">
                <a:alpha val="25000"/>
              </a:prstClr>
            </a:outerShdw>
          </a:effectLst>
        </c:spPr>
      </c:pivotFmt>
      <c:pivotFmt>
        <c:idx val="5"/>
        <c:spPr>
          <a:solidFill>
            <a:schemeClr val="accent6">
              <a:shade val="53000"/>
            </a:schemeClr>
          </a:solidFill>
          <a:ln>
            <a:noFill/>
          </a:ln>
          <a:effectLst>
            <a:outerShdw blurRad="317500" algn="ctr" rotWithShape="0">
              <a:prstClr val="black">
                <a:alpha val="25000"/>
              </a:prstClr>
            </a:outerShdw>
          </a:effectLst>
        </c:spPr>
      </c:pivotFmt>
      <c:pivotFmt>
        <c:idx val="6"/>
        <c:spPr>
          <a:solidFill>
            <a:schemeClr val="accent6"/>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pt-BR"/>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6">
              <a:tint val="54000"/>
            </a:schemeClr>
          </a:solidFill>
          <a:ln>
            <a:noFill/>
          </a:ln>
          <a:effectLst>
            <a:outerShdw blurRad="317500" algn="ctr" rotWithShape="0">
              <a:prstClr val="black">
                <a:alpha val="25000"/>
              </a:prstClr>
            </a:outerShdw>
          </a:effectLst>
        </c:spPr>
      </c:pivotFmt>
      <c:pivotFmt>
        <c:idx val="8"/>
        <c:spPr>
          <a:solidFill>
            <a:schemeClr val="accent6">
              <a:tint val="77000"/>
            </a:schemeClr>
          </a:solidFill>
          <a:ln>
            <a:noFill/>
          </a:ln>
          <a:effectLst>
            <a:outerShdw blurRad="317500" algn="ctr" rotWithShape="0">
              <a:prstClr val="black">
                <a:alpha val="25000"/>
              </a:prstClr>
            </a:outerShdw>
          </a:effectLst>
        </c:spPr>
      </c:pivotFmt>
      <c:pivotFmt>
        <c:idx val="9"/>
        <c:spPr>
          <a:solidFill>
            <a:schemeClr val="accent6"/>
          </a:solidFill>
          <a:ln>
            <a:noFill/>
          </a:ln>
          <a:effectLst>
            <a:outerShdw blurRad="317500" algn="ctr" rotWithShape="0">
              <a:prstClr val="black">
                <a:alpha val="25000"/>
              </a:prstClr>
            </a:outerShdw>
          </a:effectLst>
        </c:spPr>
      </c:pivotFmt>
      <c:pivotFmt>
        <c:idx val="10"/>
        <c:spPr>
          <a:solidFill>
            <a:schemeClr val="accent6">
              <a:shade val="76000"/>
            </a:schemeClr>
          </a:solidFill>
          <a:ln>
            <a:noFill/>
          </a:ln>
          <a:effectLst>
            <a:outerShdw blurRad="317500" algn="ctr" rotWithShape="0">
              <a:prstClr val="black">
                <a:alpha val="25000"/>
              </a:prstClr>
            </a:outerShdw>
          </a:effectLst>
        </c:spPr>
      </c:pivotFmt>
      <c:pivotFmt>
        <c:idx val="11"/>
        <c:spPr>
          <a:solidFill>
            <a:schemeClr val="accent6">
              <a:shade val="53000"/>
            </a:schemeClr>
          </a:solidFill>
          <a:ln>
            <a:noFill/>
          </a:ln>
          <a:effectLst>
            <a:outerShdw blurRad="317500" algn="ctr" rotWithShape="0">
              <a:prstClr val="black">
                <a:alpha val="25000"/>
              </a:prstClr>
            </a:outerShdw>
          </a:effectLst>
        </c:spPr>
      </c:pivotFmt>
    </c:pivotFmts>
    <c:plotArea>
      <c:layout/>
      <c:pieChart>
        <c:varyColors val="1"/>
        <c:ser>
          <c:idx val="0"/>
          <c:order val="0"/>
          <c:tx>
            <c:strRef>
              <c:f>PivotTable!$B$83</c:f>
              <c:strCache>
                <c:ptCount val="1"/>
                <c:pt idx="0">
                  <c:v>Total</c:v>
                </c:pt>
              </c:strCache>
            </c:strRef>
          </c:tx>
          <c:dPt>
            <c:idx val="0"/>
            <c:bubble3D val="0"/>
            <c:spPr>
              <a:solidFill>
                <a:schemeClr val="accent6">
                  <a:tint val="54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2697-4FCF-81AA-70AA7744CA4A}"/>
              </c:ext>
            </c:extLst>
          </c:dPt>
          <c:dPt>
            <c:idx val="1"/>
            <c:bubble3D val="0"/>
            <c:spPr>
              <a:solidFill>
                <a:schemeClr val="accent6">
                  <a:tint val="77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2697-4FCF-81AA-70AA7744CA4A}"/>
              </c:ext>
            </c:extLst>
          </c:dPt>
          <c:dPt>
            <c:idx val="2"/>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2697-4FCF-81AA-70AA7744CA4A}"/>
              </c:ext>
            </c:extLst>
          </c:dPt>
          <c:dPt>
            <c:idx val="3"/>
            <c:bubble3D val="0"/>
            <c:spPr>
              <a:solidFill>
                <a:schemeClr val="accent6">
                  <a:shade val="76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2697-4FCF-81AA-70AA7744CA4A}"/>
              </c:ext>
            </c:extLst>
          </c:dPt>
          <c:dPt>
            <c:idx val="4"/>
            <c:bubble3D val="0"/>
            <c:spPr>
              <a:solidFill>
                <a:schemeClr val="accent6">
                  <a:shade val="53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2697-4FCF-81AA-70AA7744CA4A}"/>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pt-BR"/>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PivotTable!$A$84:$A$88</c:f>
              <c:strCache>
                <c:ptCount val="5"/>
                <c:pt idx="0">
                  <c:v>Aguardando resposta</c:v>
                </c:pt>
                <c:pt idx="1">
                  <c:v>Arquivada</c:v>
                </c:pt>
                <c:pt idx="2">
                  <c:v>Concluída</c:v>
                </c:pt>
                <c:pt idx="3">
                  <c:v>Em análise</c:v>
                </c:pt>
                <c:pt idx="4">
                  <c:v>Encaminhada</c:v>
                </c:pt>
              </c:strCache>
            </c:strRef>
          </c:cat>
          <c:val>
            <c:numRef>
              <c:f>PivotTable!$B$84:$B$88</c:f>
              <c:numCache>
                <c:formatCode>General</c:formatCode>
                <c:ptCount val="5"/>
                <c:pt idx="0">
                  <c:v>32</c:v>
                </c:pt>
                <c:pt idx="1">
                  <c:v>18</c:v>
                </c:pt>
                <c:pt idx="2">
                  <c:v>120</c:v>
                </c:pt>
                <c:pt idx="3">
                  <c:v>41</c:v>
                </c:pt>
                <c:pt idx="4">
                  <c:v>29</c:v>
                </c:pt>
              </c:numCache>
            </c:numRef>
          </c:val>
          <c:extLst>
            <c:ext xmlns:c16="http://schemas.microsoft.com/office/drawing/2014/chart" uri="{C3380CC4-5D6E-409C-BE32-E72D297353CC}">
              <c16:uniqueId val="{0000000C-9B00-4762-9D7C-FC6C4E4DD4BC}"/>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pt-B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[Dashboard.xlsx]PivotTable!Tabela dinâmica20</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PivotTable!$B$101</c:f>
              <c:strCache>
                <c:ptCount val="1"/>
                <c:pt idx="0">
                  <c:v>Total</c:v>
                </c:pt>
              </c:strCache>
            </c:strRef>
          </c:tx>
          <c:spPr>
            <a:solidFill>
              <a:schemeClr val="accent1"/>
            </a:solidFill>
            <a:ln>
              <a:noFill/>
            </a:ln>
            <a:effectLst/>
          </c:spPr>
          <c:invertIfNegative val="0"/>
          <c:cat>
            <c:strRef>
              <c:f>PivotTable!$A$102:$A$110</c:f>
              <c:strCache>
                <c:ptCount val="8"/>
                <c:pt idx="0">
                  <c:v>CGTI</c:v>
                </c:pt>
                <c:pt idx="1">
                  <c:v>Consultoria Jurídica</c:v>
                </c:pt>
                <c:pt idx="2">
                  <c:v>Gabinete</c:v>
                </c:pt>
                <c:pt idx="3">
                  <c:v>Ouvidoria</c:v>
                </c:pt>
                <c:pt idx="4">
                  <c:v>SECD</c:v>
                </c:pt>
                <c:pt idx="5">
                  <c:v>Secretaria de Biodiversidade</c:v>
                </c:pt>
                <c:pt idx="6">
                  <c:v>Secretaria de Clima</c:v>
                </c:pt>
                <c:pt idx="7">
                  <c:v>SPOA</c:v>
                </c:pt>
              </c:strCache>
            </c:strRef>
          </c:cat>
          <c:val>
            <c:numRef>
              <c:f>PivotTable!$B$102:$B$110</c:f>
              <c:numCache>
                <c:formatCode>General</c:formatCode>
                <c:ptCount val="8"/>
                <c:pt idx="0">
                  <c:v>28</c:v>
                </c:pt>
                <c:pt idx="1">
                  <c:v>37</c:v>
                </c:pt>
                <c:pt idx="2">
                  <c:v>33</c:v>
                </c:pt>
                <c:pt idx="3">
                  <c:v>27</c:v>
                </c:pt>
                <c:pt idx="4">
                  <c:v>35</c:v>
                </c:pt>
                <c:pt idx="5">
                  <c:v>25</c:v>
                </c:pt>
                <c:pt idx="6">
                  <c:v>28</c:v>
                </c:pt>
                <c:pt idx="7">
                  <c:v>27</c:v>
                </c:pt>
              </c:numCache>
            </c:numRef>
          </c:val>
          <c:extLst>
            <c:ext xmlns:c16="http://schemas.microsoft.com/office/drawing/2014/chart" uri="{C3380CC4-5D6E-409C-BE32-E72D297353CC}">
              <c16:uniqueId val="{00000006-2CE3-4340-98A6-871AD0B7A5FB}"/>
            </c:ext>
          </c:extLst>
        </c:ser>
        <c:dLbls>
          <c:showLegendKey val="0"/>
          <c:showVal val="0"/>
          <c:showCatName val="0"/>
          <c:showSerName val="0"/>
          <c:showPercent val="0"/>
          <c:showBubbleSize val="0"/>
        </c:dLbls>
        <c:gapWidth val="150"/>
        <c:overlap val="100"/>
        <c:axId val="1303292303"/>
        <c:axId val="1303282223"/>
      </c:barChart>
      <c:catAx>
        <c:axId val="13032923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303282223"/>
        <c:crosses val="autoZero"/>
        <c:auto val="1"/>
        <c:lblAlgn val="ctr"/>
        <c:lblOffset val="100"/>
        <c:noMultiLvlLbl val="0"/>
      </c:catAx>
      <c:valAx>
        <c:axId val="13032822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3032923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[Dashboard.xlsx]PivotTable!Tabela dinâmica22</c:name>
    <c:fmtId val="16"/>
  </c:pivotSource>
  <c:chart>
    <c:autoTitleDeleted val="1"/>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6">
              <a:tint val="77000"/>
            </a:schemeClr>
          </a:solidFill>
          <a:ln w="19050">
            <a:solidFill>
              <a:schemeClr val="lt1"/>
            </a:solidFill>
          </a:ln>
          <a:effectLst/>
        </c:spPr>
      </c:pivotFmt>
      <c:pivotFmt>
        <c:idx val="3"/>
        <c:spPr>
          <a:solidFill>
            <a:schemeClr val="accent6">
              <a:shade val="76000"/>
            </a:schemeClr>
          </a:solidFill>
          <a:ln w="19050">
            <a:solidFill>
              <a:schemeClr val="lt1"/>
            </a:solidFill>
          </a:ln>
          <a:effectLst/>
        </c:spPr>
      </c:pivotFmt>
    </c:pivotFmts>
    <c:plotArea>
      <c:layout/>
      <c:pieChart>
        <c:varyColors val="1"/>
        <c:ser>
          <c:idx val="0"/>
          <c:order val="0"/>
          <c:tx>
            <c:strRef>
              <c:f>PivotTable!$B$120</c:f>
              <c:strCache>
                <c:ptCount val="1"/>
                <c:pt idx="0">
                  <c:v>Total</c:v>
                </c:pt>
              </c:strCache>
            </c:strRef>
          </c:tx>
          <c:dPt>
            <c:idx val="0"/>
            <c:bubble3D val="0"/>
            <c:spPr>
              <a:solidFill>
                <a:schemeClr val="accent6">
                  <a:tint val="77000"/>
                </a:schemeClr>
              </a:solidFill>
              <a:ln w="19050">
                <a:solidFill>
                  <a:schemeClr val="lt1"/>
                </a:solidFill>
              </a:ln>
              <a:effectLst/>
            </c:spPr>
            <c:extLst>
              <c:ext xmlns:c16="http://schemas.microsoft.com/office/drawing/2014/chart" uri="{C3380CC4-5D6E-409C-BE32-E72D297353CC}">
                <c16:uniqueId val="{00000001-6138-4ACF-8067-E5BAAA1E51BA}"/>
              </c:ext>
            </c:extLst>
          </c:dPt>
          <c:dPt>
            <c:idx val="1"/>
            <c:bubble3D val="0"/>
            <c:spPr>
              <a:solidFill>
                <a:schemeClr val="accent6">
                  <a:shade val="76000"/>
                </a:schemeClr>
              </a:solidFill>
              <a:ln w="19050">
                <a:solidFill>
                  <a:schemeClr val="lt1"/>
                </a:solidFill>
              </a:ln>
              <a:effectLst/>
            </c:spPr>
            <c:extLst>
              <c:ext xmlns:c16="http://schemas.microsoft.com/office/drawing/2014/chart" uri="{C3380CC4-5D6E-409C-BE32-E72D297353CC}">
                <c16:uniqueId val="{00000003-6138-4ACF-8067-E5BAAA1E51B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PivotTable!$A$121:$A$123</c:f>
              <c:strCache>
                <c:ptCount val="2"/>
                <c:pt idx="0">
                  <c:v>Não</c:v>
                </c:pt>
                <c:pt idx="1">
                  <c:v>Sim</c:v>
                </c:pt>
              </c:strCache>
            </c:strRef>
          </c:cat>
          <c:val>
            <c:numRef>
              <c:f>PivotTable!$B$121:$B$123</c:f>
              <c:numCache>
                <c:formatCode>General</c:formatCode>
                <c:ptCount val="2"/>
                <c:pt idx="0">
                  <c:v>20</c:v>
                </c:pt>
                <c:pt idx="1">
                  <c:v>220</c:v>
                </c:pt>
              </c:numCache>
            </c:numRef>
          </c:val>
          <c:extLst>
            <c:ext xmlns:c16="http://schemas.microsoft.com/office/drawing/2014/chart" uri="{C3380CC4-5D6E-409C-BE32-E72D297353CC}">
              <c16:uniqueId val="{00000000-D22B-43F8-9D50-BEFB406CE8F4}"/>
            </c:ext>
          </c:extLst>
        </c:ser>
        <c:dLbls>
          <c:showLegendKey val="0"/>
          <c:showVal val="0"/>
          <c:showCatName val="1"/>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9">
  <a:schemeClr val="accent6"/>
</cs:colorStyle>
</file>

<file path=xl/charts/colors4.xml><?xml version="1.0" encoding="utf-8"?>
<cs:colorStyle xmlns:cs="http://schemas.microsoft.com/office/drawing/2012/chartStyle" xmlns:a="http://schemas.openxmlformats.org/drawingml/2006/main" meth="withinLinearReversed" id="26">
  <a:schemeClr val="accent6"/>
</cs:colorStyle>
</file>

<file path=xl/charts/colors5.xml><?xml version="1.0" encoding="utf-8"?>
<cs:colorStyle xmlns:cs="http://schemas.microsoft.com/office/drawing/2012/chartStyle" xmlns:a="http://schemas.openxmlformats.org/drawingml/2006/main" meth="withinLinearReversed" id="26">
  <a:schemeClr val="accent6"/>
</cs:colorStyle>
</file>

<file path=xl/charts/colors6.xml><?xml version="1.0" encoding="utf-8"?>
<cs:colorStyle xmlns:cs="http://schemas.microsoft.com/office/drawing/2012/chartStyle" xmlns:a="http://schemas.openxmlformats.org/drawingml/2006/main" meth="withinLinearReversed" id="26">
  <a:schemeClr val="accent6"/>
</cs:colorStyle>
</file>

<file path=xl/charts/colors7.xml><?xml version="1.0" encoding="utf-8"?>
<cs:colorStyle xmlns:cs="http://schemas.microsoft.com/office/drawing/2012/chartStyle" xmlns:a="http://schemas.openxmlformats.org/drawingml/2006/main" meth="withinLinearReversed" id="26">
  <a:schemeClr val="accent6"/>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Reversed" id="26">
  <a:schemeClr val="accent6"/>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withinLinearReversed" id="26">
  <a:schemeClr val="accent6"/>
</cs:colorStyle>
</file>

<file path=xl/charts/style1.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45</xdr:col>
      <xdr:colOff>12700</xdr:colOff>
      <xdr:row>80</xdr:row>
      <xdr:rowOff>31750</xdr:rowOff>
    </xdr:from>
    <xdr:to>
      <xdr:col>60</xdr:col>
      <xdr:colOff>349250</xdr:colOff>
      <xdr:row>107</xdr:row>
      <xdr:rowOff>71120</xdr:rowOff>
    </xdr:to>
    <xdr:sp macro="" textlink="">
      <xdr:nvSpPr>
        <xdr:cNvPr id="21" name="Retângulo Arredondado 20">
          <a:extLst>
            <a:ext uri="{FF2B5EF4-FFF2-40B4-BE49-F238E27FC236}">
              <a16:creationId xmlns:a16="http://schemas.microsoft.com/office/drawing/2014/main" id="{7332128C-536F-4ECD-9AF4-569D23B5DB98}"/>
            </a:ext>
            <a:ext uri="{147F2762-F138-4A5C-976F-8EAC2B608ADB}">
              <a16:predDERef xmlns:a16="http://schemas.microsoft.com/office/drawing/2014/main" pred="{C12337FB-180B-4988-A476-5BF4F3C85BD9}"/>
            </a:ext>
          </a:extLst>
        </xdr:cNvPr>
        <xdr:cNvSpPr/>
      </xdr:nvSpPr>
      <xdr:spPr>
        <a:xfrm>
          <a:off x="30730825" y="14271625"/>
          <a:ext cx="10575925" cy="4754245"/>
        </a:xfrm>
        <a:prstGeom prst="roundRect">
          <a:avLst/>
        </a:prstGeom>
        <a:solidFill>
          <a:srgbClr val="2E7D32"/>
        </a:solidFill>
        <a:ln>
          <a:no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endParaRPr lang="en-US" sz="1100">
            <a:solidFill>
              <a:schemeClr val="lt1"/>
            </a:solidFill>
            <a:latin typeface="+mn-lt"/>
            <a:ea typeface="+mn-lt"/>
            <a:cs typeface="+mn-lt"/>
          </a:endParaRPr>
        </a:p>
      </xdr:txBody>
    </xdr:sp>
    <xdr:clientData/>
  </xdr:twoCellAnchor>
  <xdr:twoCellAnchor>
    <xdr:from>
      <xdr:col>45</xdr:col>
      <xdr:colOff>184819</xdr:colOff>
      <xdr:row>109</xdr:row>
      <xdr:rowOff>126165</xdr:rowOff>
    </xdr:from>
    <xdr:to>
      <xdr:col>60</xdr:col>
      <xdr:colOff>521369</xdr:colOff>
      <xdr:row>137</xdr:row>
      <xdr:rowOff>0</xdr:rowOff>
    </xdr:to>
    <xdr:sp macro="" textlink="">
      <xdr:nvSpPr>
        <xdr:cNvPr id="20" name="Retângulo Arredondado 19">
          <a:extLst>
            <a:ext uri="{FF2B5EF4-FFF2-40B4-BE49-F238E27FC236}">
              <a16:creationId xmlns:a16="http://schemas.microsoft.com/office/drawing/2014/main" id="{D9363F3D-0E3F-493B-8ACE-31B016692DEE}"/>
            </a:ext>
            <a:ext uri="{147F2762-F138-4A5C-976F-8EAC2B608ADB}">
              <a16:predDERef xmlns:a16="http://schemas.microsoft.com/office/drawing/2014/main" pred="{7332128C-536F-4ECD-9AF4-569D23B5DB98}"/>
            </a:ext>
          </a:extLst>
        </xdr:cNvPr>
        <xdr:cNvSpPr/>
      </xdr:nvSpPr>
      <xdr:spPr>
        <a:xfrm>
          <a:off x="30865345" y="19336586"/>
          <a:ext cx="10563392" cy="4739940"/>
        </a:xfrm>
        <a:prstGeom prst="roundRect">
          <a:avLst/>
        </a:prstGeom>
        <a:solidFill>
          <a:srgbClr val="2E7D32"/>
        </a:solidFill>
        <a:ln>
          <a:no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endParaRPr lang="en-US" sz="1100">
            <a:solidFill>
              <a:schemeClr val="lt1"/>
            </a:solidFill>
            <a:latin typeface="+mn-lt"/>
            <a:ea typeface="+mn-lt"/>
            <a:cs typeface="+mn-lt"/>
          </a:endParaRPr>
        </a:p>
      </xdr:txBody>
    </xdr:sp>
    <xdr:clientData/>
  </xdr:twoCellAnchor>
  <xdr:twoCellAnchor>
    <xdr:from>
      <xdr:col>26</xdr:col>
      <xdr:colOff>445627</xdr:colOff>
      <xdr:row>139</xdr:row>
      <xdr:rowOff>152400</xdr:rowOff>
    </xdr:from>
    <xdr:to>
      <xdr:col>60</xdr:col>
      <xdr:colOff>531352</xdr:colOff>
      <xdr:row>167</xdr:row>
      <xdr:rowOff>0</xdr:rowOff>
    </xdr:to>
    <xdr:sp macro="" textlink="">
      <xdr:nvSpPr>
        <xdr:cNvPr id="19" name="Retângulo Arredondado 18">
          <a:extLst>
            <a:ext uri="{FF2B5EF4-FFF2-40B4-BE49-F238E27FC236}">
              <a16:creationId xmlns:a16="http://schemas.microsoft.com/office/drawing/2014/main" id="{8A69AC15-18C0-450A-B927-A2C21EEFC9CF}"/>
            </a:ext>
            <a:ext uri="{147F2762-F138-4A5C-976F-8EAC2B608ADB}">
              <a16:predDERef xmlns:a16="http://schemas.microsoft.com/office/drawing/2014/main" pred="{D9363F3D-0E3F-493B-8ACE-31B016692DEE}"/>
            </a:ext>
          </a:extLst>
        </xdr:cNvPr>
        <xdr:cNvSpPr/>
      </xdr:nvSpPr>
      <xdr:spPr>
        <a:xfrm>
          <a:off x="18414650" y="25050307"/>
          <a:ext cx="23583679" cy="4809460"/>
        </a:xfrm>
        <a:prstGeom prst="roundRect">
          <a:avLst/>
        </a:prstGeom>
        <a:solidFill>
          <a:srgbClr val="2E7D32"/>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endParaRPr lang="en-US" sz="1100">
            <a:solidFill>
              <a:schemeClr val="lt1"/>
            </a:solidFill>
            <a:latin typeface="+mn-lt"/>
            <a:ea typeface="+mn-lt"/>
            <a:cs typeface="+mn-lt"/>
          </a:endParaRPr>
        </a:p>
      </xdr:txBody>
    </xdr:sp>
    <xdr:clientData/>
  </xdr:twoCellAnchor>
  <xdr:twoCellAnchor>
    <xdr:from>
      <xdr:col>27</xdr:col>
      <xdr:colOff>228600</xdr:colOff>
      <xdr:row>109</xdr:row>
      <xdr:rowOff>162848</xdr:rowOff>
    </xdr:from>
    <xdr:to>
      <xdr:col>42</xdr:col>
      <xdr:colOff>565150</xdr:colOff>
      <xdr:row>137</xdr:row>
      <xdr:rowOff>10448</xdr:rowOff>
    </xdr:to>
    <xdr:sp macro="" textlink="">
      <xdr:nvSpPr>
        <xdr:cNvPr id="18" name="Retângulo Arredondado 17">
          <a:extLst>
            <a:ext uri="{FF2B5EF4-FFF2-40B4-BE49-F238E27FC236}">
              <a16:creationId xmlns:a16="http://schemas.microsoft.com/office/drawing/2014/main" id="{37B6D337-93F4-4B1D-AA47-4F1933FA686A}"/>
            </a:ext>
            <a:ext uri="{147F2762-F138-4A5C-976F-8EAC2B608ADB}">
              <a16:predDERef xmlns:a16="http://schemas.microsoft.com/office/drawing/2014/main" pred="{8A69AC15-18C0-450A-B927-A2C21EEFC9CF}"/>
            </a:ext>
          </a:extLst>
        </xdr:cNvPr>
        <xdr:cNvSpPr/>
      </xdr:nvSpPr>
      <xdr:spPr>
        <a:xfrm>
          <a:off x="19088100" y="21181348"/>
          <a:ext cx="10814050" cy="5181600"/>
        </a:xfrm>
        <a:prstGeom prst="roundRect">
          <a:avLst/>
        </a:prstGeom>
        <a:solidFill>
          <a:srgbClr val="2E7D32"/>
        </a:solidFill>
        <a:ln>
          <a:no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endParaRPr lang="en-US" sz="1100">
            <a:solidFill>
              <a:schemeClr val="lt1"/>
            </a:solidFill>
            <a:latin typeface="+mn-lt"/>
            <a:ea typeface="+mn-lt"/>
            <a:cs typeface="+mn-lt"/>
          </a:endParaRPr>
        </a:p>
      </xdr:txBody>
    </xdr:sp>
    <xdr:clientData/>
  </xdr:twoCellAnchor>
  <xdr:twoCellAnchor>
    <xdr:from>
      <xdr:col>27</xdr:col>
      <xdr:colOff>274865</xdr:colOff>
      <xdr:row>80</xdr:row>
      <xdr:rowOff>56713</xdr:rowOff>
    </xdr:from>
    <xdr:to>
      <xdr:col>42</xdr:col>
      <xdr:colOff>611415</xdr:colOff>
      <xdr:row>107</xdr:row>
      <xdr:rowOff>94813</xdr:rowOff>
    </xdr:to>
    <xdr:sp macro="" textlink="">
      <xdr:nvSpPr>
        <xdr:cNvPr id="17" name="Retângulo Arredondado 16">
          <a:extLst>
            <a:ext uri="{FF2B5EF4-FFF2-40B4-BE49-F238E27FC236}">
              <a16:creationId xmlns:a16="http://schemas.microsoft.com/office/drawing/2014/main" id="{7B4700F9-CED2-1528-F261-ED06E4423965}"/>
            </a:ext>
            <a:ext uri="{147F2762-F138-4A5C-976F-8EAC2B608ADB}">
              <a16:predDERef xmlns:a16="http://schemas.microsoft.com/office/drawing/2014/main" pred="{37B6D337-93F4-4B1D-AA47-4F1933FA686A}"/>
            </a:ext>
          </a:extLst>
        </xdr:cNvPr>
        <xdr:cNvSpPr/>
      </xdr:nvSpPr>
      <xdr:spPr>
        <a:xfrm>
          <a:off x="19134365" y="15550713"/>
          <a:ext cx="10814050" cy="5181600"/>
        </a:xfrm>
        <a:prstGeom prst="roundRect">
          <a:avLst/>
        </a:prstGeom>
        <a:solidFill>
          <a:srgbClr val="2E7D32"/>
        </a:solidFill>
        <a:ln>
          <a:no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t">
          <a:noAutofit/>
        </a:bodyPr>
        <a:lstStyle/>
        <a:p>
          <a:pPr marL="0" indent="0" algn="l"/>
          <a:r>
            <a:rPr lang="pt-BR" sz="2400">
              <a:solidFill>
                <a:schemeClr val="tx1"/>
              </a:solidFill>
            </a:rPr>
            <a:t>                                                  </a:t>
          </a:r>
          <a:r>
            <a:rPr lang="pt-BR" sz="2400" baseline="0">
              <a:solidFill>
                <a:schemeClr val="tx1"/>
              </a:solidFill>
            </a:rPr>
            <a:t>     </a:t>
          </a:r>
          <a:r>
            <a:rPr lang="pt-BR" sz="2400">
              <a:solidFill>
                <a:schemeClr val="tx1"/>
              </a:solidFill>
            </a:rPr>
            <a:t>Manifestações por Tipo </a:t>
          </a:r>
          <a:endParaRPr lang="en-US" sz="2400">
            <a:solidFill>
              <a:schemeClr val="tx1"/>
            </a:solidFill>
            <a:latin typeface="+mn-lt"/>
            <a:ea typeface="+mn-lt"/>
            <a:cs typeface="+mn-lt"/>
          </a:endParaRPr>
        </a:p>
      </xdr:txBody>
    </xdr:sp>
    <xdr:clientData/>
  </xdr:twoCellAnchor>
  <xdr:twoCellAnchor>
    <xdr:from>
      <xdr:col>25</xdr:col>
      <xdr:colOff>479425</xdr:colOff>
      <xdr:row>138</xdr:row>
      <xdr:rowOff>152402</xdr:rowOff>
    </xdr:from>
    <xdr:to>
      <xdr:col>60</xdr:col>
      <xdr:colOff>82960</xdr:colOff>
      <xdr:row>165</xdr:row>
      <xdr:rowOff>152402</xdr:rowOff>
    </xdr:to>
    <xdr:graphicFrame macro="">
      <xdr:nvGraphicFramePr>
        <xdr:cNvPr id="2" name="Gráfico 1">
          <a:extLst>
            <a:ext uri="{FF2B5EF4-FFF2-40B4-BE49-F238E27FC236}">
              <a16:creationId xmlns:a16="http://schemas.microsoft.com/office/drawing/2014/main" id="{E8140F7C-1AC7-4FEA-AD74-A89FB0CCC3DA}"/>
            </a:ext>
            <a:ext uri="{147F2762-F138-4A5C-976F-8EAC2B608ADB}">
              <a16:predDERef xmlns:a16="http://schemas.microsoft.com/office/drawing/2014/main" pred="{7B4700F9-CED2-1528-F261-ED06E44239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45</xdr:col>
      <xdr:colOff>445407</xdr:colOff>
      <xdr:row>82</xdr:row>
      <xdr:rowOff>116584</xdr:rowOff>
    </xdr:from>
    <xdr:to>
      <xdr:col>60</xdr:col>
      <xdr:colOff>44171</xdr:colOff>
      <xdr:row>104</xdr:row>
      <xdr:rowOff>83926</xdr:rowOff>
    </xdr:to>
    <xdr:graphicFrame macro="">
      <xdr:nvGraphicFramePr>
        <xdr:cNvPr id="3" name="Gráfico 2">
          <a:extLst>
            <a:ext uri="{FF2B5EF4-FFF2-40B4-BE49-F238E27FC236}">
              <a16:creationId xmlns:a16="http://schemas.microsoft.com/office/drawing/2014/main" id="{A69A8C0B-E066-4074-8AAE-7AE2F14A9715}"/>
            </a:ext>
            <a:ext uri="{147F2762-F138-4A5C-976F-8EAC2B608ADB}">
              <a16:predDERef xmlns:a16="http://schemas.microsoft.com/office/drawing/2014/main" pred="{E8140F7C-1AC7-4FEA-AD74-A89FB0CCC3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28</xdr:col>
      <xdr:colOff>329433</xdr:colOff>
      <xdr:row>83</xdr:row>
      <xdr:rowOff>94378</xdr:rowOff>
    </xdr:from>
    <xdr:to>
      <xdr:col>42</xdr:col>
      <xdr:colOff>202747</xdr:colOff>
      <xdr:row>103</xdr:row>
      <xdr:rowOff>97533</xdr:rowOff>
    </xdr:to>
    <xdr:graphicFrame macro="">
      <xdr:nvGraphicFramePr>
        <xdr:cNvPr id="4" name="Gráfico 3">
          <a:extLst>
            <a:ext uri="{FF2B5EF4-FFF2-40B4-BE49-F238E27FC236}">
              <a16:creationId xmlns:a16="http://schemas.microsoft.com/office/drawing/2014/main" id="{6425288B-AA34-4B13-B103-6BDA57BC9CDA}"/>
            </a:ext>
            <a:ext uri="{147F2762-F138-4A5C-976F-8EAC2B608ADB}">
              <a16:predDERef xmlns:a16="http://schemas.microsoft.com/office/drawing/2014/main" pred="{A69A8C0B-E066-4074-8AAE-7AE2F14A97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28</xdr:col>
      <xdr:colOff>187324</xdr:colOff>
      <xdr:row>111</xdr:row>
      <xdr:rowOff>138355</xdr:rowOff>
    </xdr:from>
    <xdr:to>
      <xdr:col>42</xdr:col>
      <xdr:colOff>103025</xdr:colOff>
      <xdr:row>134</xdr:row>
      <xdr:rowOff>149241</xdr:rowOff>
    </xdr:to>
    <xdr:graphicFrame macro="">
      <xdr:nvGraphicFramePr>
        <xdr:cNvPr id="5" name="Gráfico 4">
          <a:extLst>
            <a:ext uri="{FF2B5EF4-FFF2-40B4-BE49-F238E27FC236}">
              <a16:creationId xmlns:a16="http://schemas.microsoft.com/office/drawing/2014/main" id="{031ED58C-7D72-46CF-83C2-3A33059DB3E9}"/>
            </a:ext>
            <a:ext uri="{147F2762-F138-4A5C-976F-8EAC2B608ADB}">
              <a16:predDERef xmlns:a16="http://schemas.microsoft.com/office/drawing/2014/main" pred="{6425288B-AA34-4B13-B103-6BDA57BC9C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61</xdr:col>
      <xdr:colOff>597808</xdr:colOff>
      <xdr:row>90</xdr:row>
      <xdr:rowOff>115223</xdr:rowOff>
    </xdr:from>
    <xdr:to>
      <xdr:col>69</xdr:col>
      <xdr:colOff>696233</xdr:colOff>
      <xdr:row>122</xdr:row>
      <xdr:rowOff>105699</xdr:rowOff>
    </xdr:to>
    <xdr:graphicFrame macro="">
      <xdr:nvGraphicFramePr>
        <xdr:cNvPr id="6" name="Gráfico 5">
          <a:extLst>
            <a:ext uri="{FF2B5EF4-FFF2-40B4-BE49-F238E27FC236}">
              <a16:creationId xmlns:a16="http://schemas.microsoft.com/office/drawing/2014/main" id="{81BDEE0F-40C2-4674-AFF0-054CA6C424E5}"/>
            </a:ext>
            <a:ext uri="{147F2762-F138-4A5C-976F-8EAC2B608ADB}">
              <a16:predDERef xmlns:a16="http://schemas.microsoft.com/office/drawing/2014/main" pred="{031ED58C-7D72-46CF-83C2-3A33059DB3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60</xdr:col>
      <xdr:colOff>291851</xdr:colOff>
      <xdr:row>130</xdr:row>
      <xdr:rowOff>144952</xdr:rowOff>
    </xdr:from>
    <xdr:to>
      <xdr:col>69</xdr:col>
      <xdr:colOff>534306</xdr:colOff>
      <xdr:row>159</xdr:row>
      <xdr:rowOff>96172</xdr:rowOff>
    </xdr:to>
    <xdr:graphicFrame macro="">
      <xdr:nvGraphicFramePr>
        <xdr:cNvPr id="8" name="Gráfico 7">
          <a:extLst>
            <a:ext uri="{FF2B5EF4-FFF2-40B4-BE49-F238E27FC236}">
              <a16:creationId xmlns:a16="http://schemas.microsoft.com/office/drawing/2014/main" id="{4F201BF0-7A8A-4FCB-814E-E55D54CD9ED9}"/>
            </a:ext>
            <a:ext uri="{147F2762-F138-4A5C-976F-8EAC2B608ADB}">
              <a16:predDERef xmlns:a16="http://schemas.microsoft.com/office/drawing/2014/main" pred="{81BDEE0F-40C2-4674-AFF0-054CA6C424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21</xdr:col>
      <xdr:colOff>571500</xdr:colOff>
      <xdr:row>59</xdr:row>
      <xdr:rowOff>0</xdr:rowOff>
    </xdr:from>
    <xdr:to>
      <xdr:col>67</xdr:col>
      <xdr:colOff>94054</xdr:colOff>
      <xdr:row>70</xdr:row>
      <xdr:rowOff>43158</xdr:rowOff>
    </xdr:to>
    <xdr:sp macro="" textlink="">
      <xdr:nvSpPr>
        <xdr:cNvPr id="9" name="CaixaDeTexto 8">
          <a:extLst>
            <a:ext uri="{FF2B5EF4-FFF2-40B4-BE49-F238E27FC236}">
              <a16:creationId xmlns:a16="http://schemas.microsoft.com/office/drawing/2014/main" id="{CF20DB1A-0BE6-7B24-4F7C-4920F3C57FA9}"/>
            </a:ext>
            <a:ext uri="{147F2762-F138-4A5C-976F-8EAC2B608ADB}">
              <a16:predDERef xmlns:a16="http://schemas.microsoft.com/office/drawing/2014/main" pred="{4F201BF0-7A8A-4FCB-814E-E55D54CD9ED9}"/>
            </a:ext>
          </a:extLst>
        </xdr:cNvPr>
        <xdr:cNvSpPr txBox="1"/>
      </xdr:nvSpPr>
      <xdr:spPr>
        <a:xfrm>
          <a:off x="15240000" y="11493500"/>
          <a:ext cx="32002804" cy="2138658"/>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8800" b="1">
              <a:solidFill>
                <a:schemeClr val="dk1"/>
              </a:solidFill>
              <a:latin typeface="+mn-lt"/>
              <a:ea typeface="+mn-lt"/>
              <a:cs typeface="+mn-lt"/>
            </a:rPr>
            <a:t>Dashboard Anual de Manifestações — Ouvidoria MMA</a:t>
          </a:r>
        </a:p>
      </xdr:txBody>
    </xdr:sp>
    <xdr:clientData/>
  </xdr:twoCellAnchor>
  <xdr:oneCellAnchor>
    <xdr:from>
      <xdr:col>18</xdr:col>
      <xdr:colOff>140368</xdr:colOff>
      <xdr:row>12</xdr:row>
      <xdr:rowOff>0</xdr:rowOff>
    </xdr:from>
    <xdr:ext cx="184731" cy="264560"/>
    <xdr:sp macro="" textlink="">
      <xdr:nvSpPr>
        <xdr:cNvPr id="10" name="CaixaDeTexto 9">
          <a:extLst>
            <a:ext uri="{FF2B5EF4-FFF2-40B4-BE49-F238E27FC236}">
              <a16:creationId xmlns:a16="http://schemas.microsoft.com/office/drawing/2014/main" id="{0EABB5B9-EF9B-7749-20D8-088D2C7865EF}"/>
            </a:ext>
          </a:extLst>
        </xdr:cNvPr>
        <xdr:cNvSpPr txBox="1"/>
      </xdr:nvSpPr>
      <xdr:spPr>
        <a:xfrm>
          <a:off x="12412579" y="198521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100" kern="1200"/>
        </a:p>
      </xdr:txBody>
    </xdr:sp>
    <xdr:clientData/>
  </xdr:oneCellAnchor>
  <xdr:oneCellAnchor>
    <xdr:from>
      <xdr:col>24</xdr:col>
      <xdr:colOff>673484</xdr:colOff>
      <xdr:row>29</xdr:row>
      <xdr:rowOff>153840</xdr:rowOff>
    </xdr:from>
    <xdr:ext cx="6925809" cy="593304"/>
    <xdr:sp macro="" textlink="">
      <xdr:nvSpPr>
        <xdr:cNvPr id="11" name="CaixaDeTexto 10">
          <a:extLst>
            <a:ext uri="{FF2B5EF4-FFF2-40B4-BE49-F238E27FC236}">
              <a16:creationId xmlns:a16="http://schemas.microsoft.com/office/drawing/2014/main" id="{EAC727A6-09A9-BCB2-C139-59EE8649EACC}"/>
            </a:ext>
          </a:extLst>
        </xdr:cNvPr>
        <xdr:cNvSpPr txBox="1"/>
      </xdr:nvSpPr>
      <xdr:spPr>
        <a:xfrm>
          <a:off x="17073049" y="5371883"/>
          <a:ext cx="6925809" cy="5933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pt-BR" sz="3200" kern="1200"/>
        </a:p>
      </xdr:txBody>
    </xdr:sp>
    <xdr:clientData/>
  </xdr:oneCellAnchor>
  <xdr:oneCellAnchor>
    <xdr:from>
      <xdr:col>37</xdr:col>
      <xdr:colOff>193813</xdr:colOff>
      <xdr:row>33</xdr:row>
      <xdr:rowOff>0</xdr:rowOff>
    </xdr:from>
    <xdr:ext cx="184731" cy="593304"/>
    <xdr:sp macro="" textlink="">
      <xdr:nvSpPr>
        <xdr:cNvPr id="12" name="CaixaDeTexto 11">
          <a:extLst>
            <a:ext uri="{FF2B5EF4-FFF2-40B4-BE49-F238E27FC236}">
              <a16:creationId xmlns:a16="http://schemas.microsoft.com/office/drawing/2014/main" id="{C2835DF7-91A2-5CD9-C93E-385E2EC119C6}"/>
            </a:ext>
            <a:ext uri="{147F2762-F138-4A5C-976F-8EAC2B608ADB}">
              <a16:predDERef xmlns:a16="http://schemas.microsoft.com/office/drawing/2014/main" pred="{EAC727A6-09A9-BCB2-C139-59EE8649EACC}"/>
            </a:ext>
          </a:extLst>
        </xdr:cNvPr>
        <xdr:cNvSpPr txBox="1"/>
      </xdr:nvSpPr>
      <xdr:spPr>
        <a:xfrm>
          <a:off x="25568413" y="6286500"/>
          <a:ext cx="184731" cy="5933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3200" kern="1200"/>
        </a:p>
      </xdr:txBody>
    </xdr:sp>
    <xdr:clientData/>
  </xdr:oneCellAnchor>
  <xdr:oneCellAnchor>
    <xdr:from>
      <xdr:col>23</xdr:col>
      <xdr:colOff>393424</xdr:colOff>
      <xdr:row>34</xdr:row>
      <xdr:rowOff>62120</xdr:rowOff>
    </xdr:from>
    <xdr:ext cx="184731" cy="264560"/>
    <xdr:sp macro="" textlink="">
      <xdr:nvSpPr>
        <xdr:cNvPr id="13" name="CaixaDeTexto 12">
          <a:extLst>
            <a:ext uri="{FF2B5EF4-FFF2-40B4-BE49-F238E27FC236}">
              <a16:creationId xmlns:a16="http://schemas.microsoft.com/office/drawing/2014/main" id="{0864269B-88BB-35F6-00F0-0FB319974C07}"/>
            </a:ext>
          </a:extLst>
        </xdr:cNvPr>
        <xdr:cNvSpPr txBox="1"/>
      </xdr:nvSpPr>
      <xdr:spPr>
        <a:xfrm>
          <a:off x="16109674" y="757858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100" kern="1200"/>
        </a:p>
      </xdr:txBody>
    </xdr:sp>
    <xdr:clientData/>
  </xdr:oneCellAnchor>
  <xdr:oneCellAnchor>
    <xdr:from>
      <xdr:col>3</xdr:col>
      <xdr:colOff>379966</xdr:colOff>
      <xdr:row>86</xdr:row>
      <xdr:rowOff>127344</xdr:rowOff>
    </xdr:from>
    <xdr:ext cx="184731" cy="593304"/>
    <xdr:sp macro="" textlink="">
      <xdr:nvSpPr>
        <xdr:cNvPr id="14" name="CaixaDeTexto 13">
          <a:extLst>
            <a:ext uri="{FF2B5EF4-FFF2-40B4-BE49-F238E27FC236}">
              <a16:creationId xmlns:a16="http://schemas.microsoft.com/office/drawing/2014/main" id="{ADB65A82-1B69-90B6-DD98-8B77D5049A92}"/>
            </a:ext>
          </a:extLst>
        </xdr:cNvPr>
        <xdr:cNvSpPr txBox="1"/>
      </xdr:nvSpPr>
      <xdr:spPr>
        <a:xfrm>
          <a:off x="2451654" y="18153407"/>
          <a:ext cx="184731" cy="5933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3200" kern="1200"/>
        </a:p>
      </xdr:txBody>
    </xdr:sp>
    <xdr:clientData/>
  </xdr:oneCellAnchor>
  <xdr:twoCellAnchor>
    <xdr:from>
      <xdr:col>26</xdr:col>
      <xdr:colOff>100264</xdr:colOff>
      <xdr:row>67</xdr:row>
      <xdr:rowOff>0</xdr:rowOff>
    </xdr:from>
    <xdr:to>
      <xdr:col>63</xdr:col>
      <xdr:colOff>0</xdr:colOff>
      <xdr:row>73</xdr:row>
      <xdr:rowOff>11015</xdr:rowOff>
    </xdr:to>
    <xdr:sp macro="" textlink="">
      <xdr:nvSpPr>
        <xdr:cNvPr id="16" name="TextBox 15">
          <a:extLst>
            <a:ext uri="{FF2B5EF4-FFF2-40B4-BE49-F238E27FC236}">
              <a16:creationId xmlns:a16="http://schemas.microsoft.com/office/drawing/2014/main" id="{C12337FB-180B-4988-A476-5BF4F3C85BD9}"/>
            </a:ext>
            <a:ext uri="{147F2762-F138-4A5C-976F-8EAC2B608ADB}">
              <a16:predDERef xmlns:a16="http://schemas.microsoft.com/office/drawing/2014/main" pred="{ADB65A82-1B69-90B6-DD98-8B77D5049A92}"/>
            </a:ext>
          </a:extLst>
        </xdr:cNvPr>
        <xdr:cNvSpPr txBox="1"/>
      </xdr:nvSpPr>
      <xdr:spPr>
        <a:xfrm>
          <a:off x="18261264" y="13017500"/>
          <a:ext cx="25744236" cy="1154015"/>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marL="0" indent="0"/>
          <a:r>
            <a:rPr lang="en-US" sz="3600" b="1">
              <a:solidFill>
                <a:schemeClr val="dk1"/>
              </a:solidFill>
              <a:latin typeface="+mn-lt"/>
              <a:ea typeface="+mn-lt"/>
              <a:cs typeface="+mn-lt"/>
            </a:rPr>
            <a:t>Base fictícia/anonimizada para análise de volume, prazos, status e temas recorrentes — 2025</a:t>
          </a:r>
        </a:p>
      </xdr:txBody>
    </xdr:sp>
    <xdr:clientData/>
  </xdr:twoCellAnchor>
  <xdr:twoCellAnchor>
    <xdr:from>
      <xdr:col>45</xdr:col>
      <xdr:colOff>482935</xdr:colOff>
      <xdr:row>112</xdr:row>
      <xdr:rowOff>29498</xdr:rowOff>
    </xdr:from>
    <xdr:to>
      <xdr:col>60</xdr:col>
      <xdr:colOff>445407</xdr:colOff>
      <xdr:row>136</xdr:row>
      <xdr:rowOff>73041</xdr:rowOff>
    </xdr:to>
    <xdr:graphicFrame macro="">
      <xdr:nvGraphicFramePr>
        <xdr:cNvPr id="7" name="Gráfico 6">
          <a:extLst>
            <a:ext uri="{FF2B5EF4-FFF2-40B4-BE49-F238E27FC236}">
              <a16:creationId xmlns:a16="http://schemas.microsoft.com/office/drawing/2014/main" id="{C858E718-39AF-4A4B-B59E-3B38B071CB8A}"/>
            </a:ext>
            <a:ext uri="{147F2762-F138-4A5C-976F-8EAC2B608ADB}">
              <a16:predDERef xmlns:a16="http://schemas.microsoft.com/office/drawing/2014/main" pred="{C12337FB-180B-4988-A476-5BF4F3C85B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17</xdr:col>
      <xdr:colOff>688975</xdr:colOff>
      <xdr:row>108</xdr:row>
      <xdr:rowOff>172373</xdr:rowOff>
    </xdr:from>
    <xdr:to>
      <xdr:col>25</xdr:col>
      <xdr:colOff>180975</xdr:colOff>
      <xdr:row>120</xdr:row>
      <xdr:rowOff>923</xdr:rowOff>
    </xdr:to>
    <xdr:sp macro="" textlink="">
      <xdr:nvSpPr>
        <xdr:cNvPr id="22" name="Retângulo: Cantos Arredondados 21">
          <a:extLst>
            <a:ext uri="{FF2B5EF4-FFF2-40B4-BE49-F238E27FC236}">
              <a16:creationId xmlns:a16="http://schemas.microsoft.com/office/drawing/2014/main" id="{D185FA85-6120-96F7-43F4-6A86E2533794}"/>
            </a:ext>
            <a:ext uri="{147F2762-F138-4A5C-976F-8EAC2B608ADB}">
              <a16:predDERef xmlns:a16="http://schemas.microsoft.com/office/drawing/2014/main" pred="{C858E718-39AF-4A4B-B59E-3B38B071CB8A}"/>
            </a:ext>
          </a:extLst>
        </xdr:cNvPr>
        <xdr:cNvSpPr/>
      </xdr:nvSpPr>
      <xdr:spPr>
        <a:xfrm>
          <a:off x="12563475" y="21000373"/>
          <a:ext cx="5080000" cy="2114550"/>
        </a:xfrm>
        <a:prstGeom prst="roundRect">
          <a:avLst/>
        </a:prstGeom>
        <a:solidFill>
          <a:srgbClr val="2E7D32"/>
        </a:solidFill>
        <a:ln>
          <a:no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2800">
              <a:solidFill>
                <a:srgbClr val="000000"/>
              </a:solidFill>
              <a:latin typeface="+mn-lt"/>
              <a:ea typeface="+mn-lt"/>
              <a:cs typeface="+mn-lt"/>
            </a:rPr>
            <a:t>MES</a:t>
          </a:r>
          <a:r>
            <a:rPr lang="en-US" sz="2800" baseline="0">
              <a:solidFill>
                <a:srgbClr val="000000"/>
              </a:solidFill>
              <a:latin typeface="+mn-lt"/>
              <a:ea typeface="+mn-lt"/>
              <a:cs typeface="+mn-lt"/>
            </a:rPr>
            <a:t> COM MAIS DEMANDAS</a:t>
          </a:r>
          <a:br>
            <a:rPr lang="en-US" sz="2800" baseline="0">
              <a:solidFill>
                <a:srgbClr val="000000"/>
              </a:solidFill>
              <a:latin typeface="+mn-lt"/>
              <a:ea typeface="+mn-lt"/>
              <a:cs typeface="+mn-lt"/>
            </a:rPr>
          </a:br>
          <a:r>
            <a:rPr lang="en-US" sz="2800" baseline="0">
              <a:solidFill>
                <a:srgbClr val="000000"/>
              </a:solidFill>
              <a:latin typeface="+mn-lt"/>
              <a:ea typeface="+mn-lt"/>
              <a:cs typeface="+mn-lt"/>
            </a:rPr>
            <a:t>Novembro</a:t>
          </a:r>
          <a:endParaRPr lang="en-US" sz="2800">
            <a:solidFill>
              <a:srgbClr val="000000"/>
            </a:solidFill>
            <a:latin typeface="+mn-lt"/>
            <a:ea typeface="+mn-lt"/>
            <a:cs typeface="+mn-lt"/>
          </a:endParaRPr>
        </a:p>
      </xdr:txBody>
    </xdr:sp>
    <xdr:clientData/>
  </xdr:twoCellAnchor>
  <xdr:twoCellAnchor>
    <xdr:from>
      <xdr:col>18</xdr:col>
      <xdr:colOff>4730</xdr:colOff>
      <xdr:row>80</xdr:row>
      <xdr:rowOff>48548</xdr:rowOff>
    </xdr:from>
    <xdr:to>
      <xdr:col>25</xdr:col>
      <xdr:colOff>171450</xdr:colOff>
      <xdr:row>91</xdr:row>
      <xdr:rowOff>1312</xdr:rowOff>
    </xdr:to>
    <xdr:sp macro="" textlink="">
      <xdr:nvSpPr>
        <xdr:cNvPr id="25" name="Retângulo: Cantos Arredondados 24">
          <a:extLst>
            <a:ext uri="{FF2B5EF4-FFF2-40B4-BE49-F238E27FC236}">
              <a16:creationId xmlns:a16="http://schemas.microsoft.com/office/drawing/2014/main" id="{1CB88CD8-E5DC-4CD3-AF81-BF4CC1DA1D22}"/>
            </a:ext>
            <a:ext uri="{147F2762-F138-4A5C-976F-8EAC2B608ADB}">
              <a16:predDERef xmlns:a16="http://schemas.microsoft.com/office/drawing/2014/main" pred="{D185FA85-6120-96F7-43F4-6A86E2533794}"/>
            </a:ext>
          </a:extLst>
        </xdr:cNvPr>
        <xdr:cNvSpPr/>
      </xdr:nvSpPr>
      <xdr:spPr>
        <a:xfrm>
          <a:off x="12321138" y="13997813"/>
          <a:ext cx="4956434" cy="1834438"/>
        </a:xfrm>
        <a:prstGeom prst="roundRect">
          <a:avLst/>
        </a:prstGeom>
        <a:solidFill>
          <a:srgbClr val="2E7D32"/>
        </a:solidFill>
        <a:ln>
          <a:no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2800">
              <a:solidFill>
                <a:srgbClr val="000000"/>
              </a:solidFill>
              <a:latin typeface="+mn-lt"/>
              <a:ea typeface="+mn-lt"/>
              <a:cs typeface="+mn-lt"/>
            </a:rPr>
            <a:t>SETOR</a:t>
          </a:r>
          <a:r>
            <a:rPr lang="en-US" sz="2800" baseline="0">
              <a:solidFill>
                <a:srgbClr val="000000"/>
              </a:solidFill>
              <a:latin typeface="+mn-lt"/>
              <a:ea typeface="+mn-lt"/>
              <a:cs typeface="+mn-lt"/>
            </a:rPr>
            <a:t> COM MAIS DEMANDAS</a:t>
          </a:r>
        </a:p>
        <a:p>
          <a:pPr marL="0" indent="0" algn="ctr"/>
          <a:r>
            <a:rPr lang="en-US" sz="2800" baseline="0">
              <a:solidFill>
                <a:srgbClr val="000000"/>
              </a:solidFill>
              <a:latin typeface="+mn-lt"/>
              <a:ea typeface="+mn-lt"/>
              <a:cs typeface="+mn-lt"/>
            </a:rPr>
            <a:t>C</a:t>
          </a:r>
          <a:r>
            <a:rPr lang="en-US" sz="2800">
              <a:solidFill>
                <a:srgbClr val="000000"/>
              </a:solidFill>
              <a:latin typeface="+mn-lt"/>
              <a:ea typeface="+mn-lt"/>
              <a:cs typeface="+mn-lt"/>
            </a:rPr>
            <a:t>onsultoria juridica</a:t>
          </a:r>
        </a:p>
      </xdr:txBody>
    </xdr:sp>
    <xdr:clientData/>
  </xdr:twoCellAnchor>
  <xdr:twoCellAnchor>
    <xdr:from>
      <xdr:col>18</xdr:col>
      <xdr:colOff>47625</xdr:colOff>
      <xdr:row>153</xdr:row>
      <xdr:rowOff>153323</xdr:rowOff>
    </xdr:from>
    <xdr:to>
      <xdr:col>25</xdr:col>
      <xdr:colOff>238125</xdr:colOff>
      <xdr:row>165</xdr:row>
      <xdr:rowOff>181898</xdr:rowOff>
    </xdr:to>
    <xdr:sp macro="" textlink="">
      <xdr:nvSpPr>
        <xdr:cNvPr id="23" name="Retângulo Arredondado 22">
          <a:extLst>
            <a:ext uri="{FF2B5EF4-FFF2-40B4-BE49-F238E27FC236}">
              <a16:creationId xmlns:a16="http://schemas.microsoft.com/office/drawing/2014/main" id="{23FBFE78-9B26-4670-9FAC-86F196ADCF65}"/>
            </a:ext>
            <a:ext uri="{147F2762-F138-4A5C-976F-8EAC2B608ADB}">
              <a16:predDERef xmlns:a16="http://schemas.microsoft.com/office/drawing/2014/main" pred="{0AE2EB42-551C-478A-AD0A-0FF0DA8C679F}"/>
            </a:ext>
          </a:extLst>
        </xdr:cNvPr>
        <xdr:cNvSpPr/>
      </xdr:nvSpPr>
      <xdr:spPr>
        <a:xfrm>
          <a:off x="12620625" y="29553823"/>
          <a:ext cx="5080000" cy="2314575"/>
        </a:xfrm>
        <a:prstGeom prst="roundRect">
          <a:avLst/>
        </a:prstGeom>
        <a:solidFill>
          <a:srgbClr val="2E7D32"/>
        </a:solidFill>
        <a:ln>
          <a:no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2800">
              <a:solidFill>
                <a:srgbClr val="000000"/>
              </a:solidFill>
              <a:latin typeface="+mn-lt"/>
              <a:ea typeface="+mn-lt"/>
              <a:cs typeface="+mn-lt"/>
            </a:rPr>
            <a:t>92% DENTRO</a:t>
          </a:r>
          <a:r>
            <a:rPr lang="en-US" sz="2800" baseline="0">
              <a:solidFill>
                <a:srgbClr val="000000"/>
              </a:solidFill>
              <a:latin typeface="+mn-lt"/>
              <a:ea typeface="+mn-lt"/>
              <a:cs typeface="+mn-lt"/>
            </a:rPr>
            <a:t> DO PRAZO</a:t>
          </a:r>
          <a:endParaRPr lang="en-US" sz="2800">
            <a:solidFill>
              <a:srgbClr val="000000"/>
            </a:solidFill>
            <a:latin typeface="+mn-lt"/>
            <a:ea typeface="+mn-lt"/>
            <a:cs typeface="+mn-lt"/>
          </a:endParaRPr>
        </a:p>
      </xdr:txBody>
    </xdr:sp>
    <xdr:clientData/>
  </xdr:twoCellAnchor>
  <xdr:twoCellAnchor>
    <xdr:from>
      <xdr:col>17</xdr:col>
      <xdr:colOff>679450</xdr:colOff>
      <xdr:row>125</xdr:row>
      <xdr:rowOff>58073</xdr:rowOff>
    </xdr:from>
    <xdr:to>
      <xdr:col>25</xdr:col>
      <xdr:colOff>171450</xdr:colOff>
      <xdr:row>134</xdr:row>
      <xdr:rowOff>172373</xdr:rowOff>
    </xdr:to>
    <xdr:sp macro="" textlink="">
      <xdr:nvSpPr>
        <xdr:cNvPr id="24" name="Retângulo Arredondado 23">
          <a:extLst>
            <a:ext uri="{FF2B5EF4-FFF2-40B4-BE49-F238E27FC236}">
              <a16:creationId xmlns:a16="http://schemas.microsoft.com/office/drawing/2014/main" id="{47A42959-133C-4CFE-B758-48AE0079FF5F}"/>
            </a:ext>
            <a:ext uri="{147F2762-F138-4A5C-976F-8EAC2B608ADB}">
              <a16:predDERef xmlns:a16="http://schemas.microsoft.com/office/drawing/2014/main" pred="{23FBFE78-9B26-4670-9FAC-86F196ADCF65}"/>
            </a:ext>
          </a:extLst>
        </xdr:cNvPr>
        <xdr:cNvSpPr/>
      </xdr:nvSpPr>
      <xdr:spPr>
        <a:xfrm>
          <a:off x="12553950" y="24124573"/>
          <a:ext cx="5080000" cy="1828800"/>
        </a:xfrm>
        <a:prstGeom prst="roundRect">
          <a:avLst/>
        </a:prstGeom>
        <a:solidFill>
          <a:srgbClr val="2E7D32"/>
        </a:solidFill>
        <a:ln>
          <a:no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2800">
              <a:solidFill>
                <a:srgbClr val="000000"/>
              </a:solidFill>
              <a:latin typeface="+mn-lt"/>
              <a:ea typeface="+mn-lt"/>
              <a:cs typeface="+mn-lt"/>
            </a:rPr>
            <a:t>240 MANIFESTAÇÕES</a:t>
          </a:r>
        </a:p>
      </xdr:txBody>
    </xdr:sp>
    <xdr:clientData/>
  </xdr:twoCellAnchor>
  <xdr:twoCellAnchor>
    <xdr:from>
      <xdr:col>18</xdr:col>
      <xdr:colOff>9525</xdr:colOff>
      <xdr:row>138</xdr:row>
      <xdr:rowOff>58073</xdr:rowOff>
    </xdr:from>
    <xdr:to>
      <xdr:col>25</xdr:col>
      <xdr:colOff>200025</xdr:colOff>
      <xdr:row>150</xdr:row>
      <xdr:rowOff>48548</xdr:rowOff>
    </xdr:to>
    <xdr:sp macro="" textlink="">
      <xdr:nvSpPr>
        <xdr:cNvPr id="29" name="Retângulo Arredondado 28">
          <a:extLst>
            <a:ext uri="{FF2B5EF4-FFF2-40B4-BE49-F238E27FC236}">
              <a16:creationId xmlns:a16="http://schemas.microsoft.com/office/drawing/2014/main" id="{9B38C668-E377-414A-B842-9B3EE401D385}"/>
            </a:ext>
            <a:ext uri="{147F2762-F138-4A5C-976F-8EAC2B608ADB}">
              <a16:predDERef xmlns:a16="http://schemas.microsoft.com/office/drawing/2014/main" pred="{47A42959-133C-4CFE-B758-48AE0079FF5F}"/>
            </a:ext>
          </a:extLst>
        </xdr:cNvPr>
        <xdr:cNvSpPr/>
      </xdr:nvSpPr>
      <xdr:spPr>
        <a:xfrm>
          <a:off x="12582525" y="26601073"/>
          <a:ext cx="5080000" cy="2276475"/>
        </a:xfrm>
        <a:prstGeom prst="roundRect">
          <a:avLst/>
        </a:prstGeom>
        <a:solidFill>
          <a:srgbClr val="2E7D32"/>
        </a:solidFill>
        <a:ln>
          <a:no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2800">
              <a:solidFill>
                <a:srgbClr val="000000"/>
              </a:solidFill>
              <a:latin typeface="+mn-lt"/>
              <a:ea typeface="+mn-lt"/>
              <a:cs typeface="+mn-lt"/>
            </a:rPr>
            <a:t>11 DIAS DE RESPOSTA MEDIA</a:t>
          </a:r>
        </a:p>
      </xdr:txBody>
    </xdr:sp>
    <xdr:clientData/>
  </xdr:twoCellAnchor>
  <xdr:twoCellAnchor>
    <xdr:from>
      <xdr:col>7</xdr:col>
      <xdr:colOff>487680</xdr:colOff>
      <xdr:row>128</xdr:row>
      <xdr:rowOff>152400</xdr:rowOff>
    </xdr:from>
    <xdr:to>
      <xdr:col>14</xdr:col>
      <xdr:colOff>586130</xdr:colOff>
      <xdr:row>142</xdr:row>
      <xdr:rowOff>119141</xdr:rowOff>
    </xdr:to>
    <xdr:sp macro="" textlink="">
      <xdr:nvSpPr>
        <xdr:cNvPr id="42" name="Retângulo Arredondado 29">
          <a:extLst>
            <a:ext uri="{FF2B5EF4-FFF2-40B4-BE49-F238E27FC236}">
              <a16:creationId xmlns:a16="http://schemas.microsoft.com/office/drawing/2014/main" id="{079E36C7-6F92-4C70-9A1C-B5AD8EEFC99D}"/>
            </a:ext>
            <a:ext uri="{147F2762-F138-4A5C-976F-8EAC2B608ADB}">
              <a16:predDERef xmlns:a16="http://schemas.microsoft.com/office/drawing/2014/main" pred="{9B38C668-E377-414A-B842-9B3EE401D385}"/>
            </a:ext>
          </a:extLst>
        </xdr:cNvPr>
        <xdr:cNvSpPr/>
      </xdr:nvSpPr>
      <xdr:spPr>
        <a:xfrm>
          <a:off x="5288280" y="23820120"/>
          <a:ext cx="4899050" cy="2527061"/>
        </a:xfrm>
        <a:prstGeom prst="roundRect">
          <a:avLst/>
        </a:prstGeom>
        <a:solidFill>
          <a:srgbClr val="DAF2D0"/>
        </a:solidFill>
        <a:ln>
          <a:no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endParaRPr lang="en-US" sz="2800" b="0">
            <a:solidFill>
              <a:srgbClr val="000000"/>
            </a:solidFill>
            <a:latin typeface="+mn-lt"/>
            <a:ea typeface="+mn-lt"/>
            <a:cs typeface="+mn-lt"/>
          </a:endParaRPr>
        </a:p>
      </xdr:txBody>
    </xdr:sp>
    <xdr:clientData/>
  </xdr:twoCellAnchor>
  <xdr:twoCellAnchor>
    <xdr:from>
      <xdr:col>7</xdr:col>
      <xdr:colOff>441960</xdr:colOff>
      <xdr:row>112</xdr:row>
      <xdr:rowOff>137137</xdr:rowOff>
    </xdr:from>
    <xdr:to>
      <xdr:col>14</xdr:col>
      <xdr:colOff>533577</xdr:colOff>
      <xdr:row>127</xdr:row>
      <xdr:rowOff>0</xdr:rowOff>
    </xdr:to>
    <xdr:sp macro="" textlink="">
      <xdr:nvSpPr>
        <xdr:cNvPr id="41" name="Retângulo Arredondado 29">
          <a:extLst>
            <a:ext uri="{FF2B5EF4-FFF2-40B4-BE49-F238E27FC236}">
              <a16:creationId xmlns:a16="http://schemas.microsoft.com/office/drawing/2014/main" id="{88682E81-02FA-41DC-ACD5-7F241B7EC012}"/>
            </a:ext>
            <a:ext uri="{147F2762-F138-4A5C-976F-8EAC2B608ADB}">
              <a16:predDERef xmlns:a16="http://schemas.microsoft.com/office/drawing/2014/main" pred="{9B38C668-E377-414A-B842-9B3EE401D385}"/>
            </a:ext>
          </a:extLst>
        </xdr:cNvPr>
        <xdr:cNvSpPr/>
      </xdr:nvSpPr>
      <xdr:spPr>
        <a:xfrm>
          <a:off x="5242560" y="20878777"/>
          <a:ext cx="4892217" cy="2606063"/>
        </a:xfrm>
        <a:prstGeom prst="roundRect">
          <a:avLst/>
        </a:prstGeom>
        <a:solidFill>
          <a:srgbClr val="DAF2D0"/>
        </a:solidFill>
        <a:ln>
          <a:no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2800" b="0">
              <a:solidFill>
                <a:srgbClr val="000000"/>
              </a:solidFill>
              <a:latin typeface="+mn-lt"/>
              <a:ea typeface="+mn-lt"/>
              <a:cs typeface="+mn-lt"/>
            </a:rPr>
            <a:t>50% Das demandas concluídasc</a:t>
          </a:r>
        </a:p>
      </xdr:txBody>
    </xdr:sp>
    <xdr:clientData/>
  </xdr:twoCellAnchor>
  <xdr:twoCellAnchor>
    <xdr:from>
      <xdr:col>17</xdr:col>
      <xdr:colOff>679450</xdr:colOff>
      <xdr:row>94</xdr:row>
      <xdr:rowOff>105698</xdr:rowOff>
    </xdr:from>
    <xdr:to>
      <xdr:col>25</xdr:col>
      <xdr:colOff>171450</xdr:colOff>
      <xdr:row>105</xdr:row>
      <xdr:rowOff>48548</xdr:rowOff>
    </xdr:to>
    <xdr:sp macro="" textlink="">
      <xdr:nvSpPr>
        <xdr:cNvPr id="30" name="Retângulo Arredondado 29">
          <a:extLst>
            <a:ext uri="{FF2B5EF4-FFF2-40B4-BE49-F238E27FC236}">
              <a16:creationId xmlns:a16="http://schemas.microsoft.com/office/drawing/2014/main" id="{4EFF24CD-6CE7-429E-BCF5-0B6355F90685}"/>
            </a:ext>
            <a:ext uri="{147F2762-F138-4A5C-976F-8EAC2B608ADB}">
              <a16:predDERef xmlns:a16="http://schemas.microsoft.com/office/drawing/2014/main" pred="{9B38C668-E377-414A-B842-9B3EE401D385}"/>
            </a:ext>
          </a:extLst>
        </xdr:cNvPr>
        <xdr:cNvSpPr/>
      </xdr:nvSpPr>
      <xdr:spPr>
        <a:xfrm>
          <a:off x="12553950" y="18266698"/>
          <a:ext cx="5080000" cy="2038350"/>
        </a:xfrm>
        <a:prstGeom prst="roundRect">
          <a:avLst/>
        </a:prstGeom>
        <a:solidFill>
          <a:srgbClr val="2E7D32"/>
        </a:solidFill>
        <a:ln>
          <a:no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2800" b="0">
              <a:solidFill>
                <a:srgbClr val="000000"/>
              </a:solidFill>
              <a:latin typeface="+mn-lt"/>
              <a:ea typeface="+mn-lt"/>
              <a:cs typeface="+mn-lt"/>
            </a:rPr>
            <a:t>50% DAS</a:t>
          </a:r>
          <a:r>
            <a:rPr lang="en-US" sz="2800" b="0" baseline="0">
              <a:solidFill>
                <a:srgbClr val="000000"/>
              </a:solidFill>
              <a:latin typeface="+mn-lt"/>
              <a:ea typeface="+mn-lt"/>
              <a:cs typeface="+mn-lt"/>
            </a:rPr>
            <a:t> DEMANDAS CONCLUIDAS</a:t>
          </a:r>
          <a:endParaRPr lang="en-US" sz="2800" b="0">
            <a:solidFill>
              <a:srgbClr val="000000"/>
            </a:solidFill>
            <a:latin typeface="+mn-lt"/>
            <a:ea typeface="+mn-lt"/>
            <a:cs typeface="+mn-lt"/>
          </a:endParaRPr>
        </a:p>
      </xdr:txBody>
    </xdr:sp>
    <xdr:clientData/>
  </xdr:twoCellAnchor>
  <xdr:twoCellAnchor editAs="oneCell">
    <xdr:from>
      <xdr:col>8</xdr:col>
      <xdr:colOff>246765</xdr:colOff>
      <xdr:row>132</xdr:row>
      <xdr:rowOff>0</xdr:rowOff>
    </xdr:from>
    <xdr:to>
      <xdr:col>14</xdr:col>
      <xdr:colOff>246765</xdr:colOff>
      <xdr:row>142</xdr:row>
      <xdr:rowOff>0</xdr:rowOff>
    </xdr:to>
    <mc:AlternateContent xmlns:mc="http://schemas.openxmlformats.org/markup-compatibility/2006" xmlns:a14="http://schemas.microsoft.com/office/drawing/2010/main">
      <mc:Choice Requires="a14">
        <xdr:graphicFrame macro="">
          <xdr:nvGraphicFramePr>
            <xdr:cNvPr id="37" name="Tipo_Manifestação 1">
              <a:extLst>
                <a:ext uri="{FF2B5EF4-FFF2-40B4-BE49-F238E27FC236}">
                  <a16:creationId xmlns:a16="http://schemas.microsoft.com/office/drawing/2014/main" id="{DC4CCEC3-281D-46DC-B917-DF2C59C5C649}"/>
                </a:ext>
              </a:extLst>
            </xdr:cNvPr>
            <xdr:cNvGraphicFramePr/>
          </xdr:nvGraphicFramePr>
          <xdr:xfrm>
            <a:off x="0" y="0"/>
            <a:ext cx="0" cy="0"/>
          </xdr:xfrm>
          <a:graphic>
            <a:graphicData uri="http://schemas.microsoft.com/office/drawing/2010/slicer">
              <sle:slicer xmlns:sle="http://schemas.microsoft.com/office/drawing/2010/slicer" name="Tipo_Manifestação 1"/>
            </a:graphicData>
          </a:graphic>
        </xdr:graphicFrame>
      </mc:Choice>
      <mc:Fallback xmlns="">
        <xdr:sp macro="" textlink="">
          <xdr:nvSpPr>
            <xdr:cNvPr id="0" name=""/>
            <xdr:cNvSpPr>
              <a:spLocks noTextEdit="1"/>
            </xdr:cNvSpPr>
          </xdr:nvSpPr>
          <xdr:spPr>
            <a:xfrm>
              <a:off x="5726316" y="22877124"/>
              <a:ext cx="4109662" cy="1712359"/>
            </a:xfrm>
            <a:prstGeom prst="rect">
              <a:avLst/>
            </a:prstGeom>
            <a:solidFill>
              <a:prstClr val="white"/>
            </a:solidFill>
            <a:ln w="1">
              <a:solidFill>
                <a:prstClr val="green"/>
              </a:solidFill>
            </a:ln>
          </xdr:spPr>
          <xdr:txBody>
            <a:bodyPr vertOverflow="clip" horzOverflow="clip"/>
            <a:lstStyle/>
            <a:p>
              <a:r>
                <a:rPr lang="pt-B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137160</xdr:colOff>
      <xdr:row>115</xdr:row>
      <xdr:rowOff>48947</xdr:rowOff>
    </xdr:from>
    <xdr:to>
      <xdr:col>14</xdr:col>
      <xdr:colOff>200301</xdr:colOff>
      <xdr:row>126</xdr:row>
      <xdr:rowOff>0</xdr:rowOff>
    </xdr:to>
    <mc:AlternateContent xmlns:mc="http://schemas.openxmlformats.org/markup-compatibility/2006" xmlns:a14="http://schemas.microsoft.com/office/drawing/2010/main">
      <mc:Choice Requires="a14">
        <xdr:graphicFrame macro="">
          <xdr:nvGraphicFramePr>
            <xdr:cNvPr id="35" name="Mês 1" descr="jkjkbjk&#10;">
              <a:extLst>
                <a:ext uri="{FF2B5EF4-FFF2-40B4-BE49-F238E27FC236}">
                  <a16:creationId xmlns:a16="http://schemas.microsoft.com/office/drawing/2014/main" id="{EB865064-9CAE-4FFC-AC18-A732A82C6473}"/>
                </a:ext>
              </a:extLst>
            </xdr:cNvPr>
            <xdr:cNvGraphicFramePr/>
          </xdr:nvGraphicFramePr>
          <xdr:xfrm>
            <a:off x="0" y="0"/>
            <a:ext cx="0" cy="0"/>
          </xdr:xfrm>
          <a:graphic>
            <a:graphicData uri="http://schemas.microsoft.com/office/drawing/2010/slicer">
              <sle:slicer xmlns:sle="http://schemas.microsoft.com/office/drawing/2010/slicer" name="Mês 1"/>
            </a:graphicData>
          </a:graphic>
        </xdr:graphicFrame>
      </mc:Choice>
      <mc:Fallback xmlns="">
        <xdr:sp macro="" textlink="">
          <xdr:nvSpPr>
            <xdr:cNvPr id="0" name=""/>
            <xdr:cNvSpPr>
              <a:spLocks noTextEdit="1"/>
            </xdr:cNvSpPr>
          </xdr:nvSpPr>
          <xdr:spPr>
            <a:xfrm>
              <a:off x="5616711" y="20015059"/>
              <a:ext cx="4172803" cy="1834649"/>
            </a:xfrm>
            <a:prstGeom prst="rect">
              <a:avLst/>
            </a:prstGeom>
            <a:solidFill>
              <a:prstClr val="white"/>
            </a:solidFill>
            <a:ln w="1">
              <a:solidFill>
                <a:prstClr val="green"/>
              </a:solidFill>
            </a:ln>
          </xdr:spPr>
          <xdr:txBody>
            <a:bodyPr vertOverflow="clip" horzOverflow="clip"/>
            <a:lstStyle/>
            <a:p>
              <a:r>
                <a:rPr lang="pt-B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448445</xdr:colOff>
      <xdr:row>96</xdr:row>
      <xdr:rowOff>120242</xdr:rowOff>
    </xdr:from>
    <xdr:to>
      <xdr:col>14</xdr:col>
      <xdr:colOff>502920</xdr:colOff>
      <xdr:row>110</xdr:row>
      <xdr:rowOff>167640</xdr:rowOff>
    </xdr:to>
    <xdr:sp macro="" textlink="">
      <xdr:nvSpPr>
        <xdr:cNvPr id="40" name="Retângulo Arredondado 29">
          <a:extLst>
            <a:ext uri="{FF2B5EF4-FFF2-40B4-BE49-F238E27FC236}">
              <a16:creationId xmlns:a16="http://schemas.microsoft.com/office/drawing/2014/main" id="{3D0A2543-D9B4-4AB9-B99E-18C6045FBD76}"/>
            </a:ext>
            <a:ext uri="{147F2762-F138-4A5C-976F-8EAC2B608ADB}">
              <a16:predDERef xmlns:a16="http://schemas.microsoft.com/office/drawing/2014/main" pred="{9B38C668-E377-414A-B842-9B3EE401D385}"/>
            </a:ext>
          </a:extLst>
        </xdr:cNvPr>
        <xdr:cNvSpPr/>
      </xdr:nvSpPr>
      <xdr:spPr>
        <a:xfrm>
          <a:off x="5249045" y="17935802"/>
          <a:ext cx="4855075" cy="2607718"/>
        </a:xfrm>
        <a:prstGeom prst="roundRect">
          <a:avLst/>
        </a:prstGeom>
        <a:solidFill>
          <a:srgbClr val="DAF2D0"/>
        </a:solidFill>
        <a:ln>
          <a:no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2800" b="0">
              <a:solidFill>
                <a:srgbClr val="000000"/>
              </a:solidFill>
              <a:latin typeface="+mn-lt"/>
              <a:ea typeface="+mn-lt"/>
              <a:cs typeface="+mn-lt"/>
            </a:rPr>
            <a:t>% Das demandas concluídas</a:t>
          </a:r>
        </a:p>
      </xdr:txBody>
    </xdr:sp>
    <xdr:clientData/>
  </xdr:twoCellAnchor>
  <xdr:twoCellAnchor editAs="oneCell">
    <xdr:from>
      <xdr:col>8</xdr:col>
      <xdr:colOff>163554</xdr:colOff>
      <xdr:row>98</xdr:row>
      <xdr:rowOff>167639</xdr:rowOff>
    </xdr:from>
    <xdr:to>
      <xdr:col>14</xdr:col>
      <xdr:colOff>163554</xdr:colOff>
      <xdr:row>110</xdr:row>
      <xdr:rowOff>4353</xdr:rowOff>
    </xdr:to>
    <mc:AlternateContent xmlns:mc="http://schemas.openxmlformats.org/markup-compatibility/2006" xmlns:a14="http://schemas.microsoft.com/office/drawing/2010/main">
      <mc:Choice Requires="a14">
        <xdr:graphicFrame macro="">
          <xdr:nvGraphicFramePr>
            <xdr:cNvPr id="38" name="Setor MMA">
              <a:extLst>
                <a:ext uri="{FF2B5EF4-FFF2-40B4-BE49-F238E27FC236}">
                  <a16:creationId xmlns:a16="http://schemas.microsoft.com/office/drawing/2014/main" id="{03EC1A34-7222-4990-B7C4-F5FB779BB1C5}"/>
                </a:ext>
              </a:extLst>
            </xdr:cNvPr>
            <xdr:cNvGraphicFramePr/>
          </xdr:nvGraphicFramePr>
          <xdr:xfrm>
            <a:off x="0" y="0"/>
            <a:ext cx="0" cy="0"/>
          </xdr:xfrm>
          <a:graphic>
            <a:graphicData uri="http://schemas.microsoft.com/office/drawing/2010/slicer">
              <sle:slicer xmlns:sle="http://schemas.microsoft.com/office/drawing/2010/slicer" name="Setor MMA"/>
            </a:graphicData>
          </a:graphic>
        </xdr:graphicFrame>
      </mc:Choice>
      <mc:Fallback xmlns="">
        <xdr:sp macro="" textlink="">
          <xdr:nvSpPr>
            <xdr:cNvPr id="0" name=""/>
            <xdr:cNvSpPr>
              <a:spLocks noTextEdit="1"/>
            </xdr:cNvSpPr>
          </xdr:nvSpPr>
          <xdr:spPr>
            <a:xfrm>
              <a:off x="5643105" y="17222740"/>
              <a:ext cx="4109662" cy="1891546"/>
            </a:xfrm>
            <a:prstGeom prst="rect">
              <a:avLst/>
            </a:prstGeom>
            <a:solidFill>
              <a:prstClr val="white"/>
            </a:solidFill>
            <a:ln w="1">
              <a:solidFill>
                <a:prstClr val="green"/>
              </a:solidFill>
            </a:ln>
          </xdr:spPr>
          <xdr:txBody>
            <a:bodyPr vertOverflow="clip" horzOverflow="clip"/>
            <a:lstStyle/>
            <a:p>
              <a:r>
                <a:rPr lang="pt-B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33</xdr:col>
      <xdr:colOff>454526</xdr:colOff>
      <xdr:row>110</xdr:row>
      <xdr:rowOff>156041</xdr:rowOff>
    </xdr:from>
    <xdr:ext cx="2509719" cy="468013"/>
    <xdr:sp macro="" textlink="">
      <xdr:nvSpPr>
        <xdr:cNvPr id="43" name="TextBox 42">
          <a:extLst>
            <a:ext uri="{FF2B5EF4-FFF2-40B4-BE49-F238E27FC236}">
              <a16:creationId xmlns:a16="http://schemas.microsoft.com/office/drawing/2014/main" id="{F0BBB5C7-9DA3-ECEE-7A99-F690E51DEC71}"/>
            </a:ext>
          </a:extLst>
        </xdr:cNvPr>
        <xdr:cNvSpPr txBox="1"/>
      </xdr:nvSpPr>
      <xdr:spPr>
        <a:xfrm>
          <a:off x="23261363" y="19914878"/>
          <a:ext cx="2509719"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pt-BR" sz="2400">
              <a:solidFill>
                <a:schemeClr val="tx1"/>
              </a:solidFill>
            </a:rPr>
            <a:t>Demandas por UF </a:t>
          </a:r>
        </a:p>
      </xdr:txBody>
    </xdr:sp>
    <xdr:clientData/>
  </xdr:oneCellAnchor>
  <xdr:oneCellAnchor>
    <xdr:from>
      <xdr:col>51</xdr:col>
      <xdr:colOff>11017</xdr:colOff>
      <xdr:row>81</xdr:row>
      <xdr:rowOff>0</xdr:rowOff>
    </xdr:from>
    <xdr:ext cx="3402108" cy="468013"/>
    <xdr:sp macro="" textlink="">
      <xdr:nvSpPr>
        <xdr:cNvPr id="44" name="TextBox 43">
          <a:extLst>
            <a:ext uri="{FF2B5EF4-FFF2-40B4-BE49-F238E27FC236}">
              <a16:creationId xmlns:a16="http://schemas.microsoft.com/office/drawing/2014/main" id="{A5B30C42-74F9-4C1C-AECA-6DFFCD23AE09}"/>
            </a:ext>
          </a:extLst>
        </xdr:cNvPr>
        <xdr:cNvSpPr txBox="1"/>
      </xdr:nvSpPr>
      <xdr:spPr>
        <a:xfrm>
          <a:off x="34824892" y="14414500"/>
          <a:ext cx="3402108"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pt-BR" sz="2400">
              <a:solidFill>
                <a:schemeClr val="tx1"/>
              </a:solidFill>
            </a:rPr>
            <a:t>Temas Mais Recorrentes </a:t>
          </a:r>
        </a:p>
      </xdr:txBody>
    </xdr:sp>
    <xdr:clientData/>
  </xdr:oneCellAnchor>
  <xdr:oneCellAnchor>
    <xdr:from>
      <xdr:col>51</xdr:col>
      <xdr:colOff>0</xdr:colOff>
      <xdr:row>111</xdr:row>
      <xdr:rowOff>0</xdr:rowOff>
    </xdr:from>
    <xdr:ext cx="2910772" cy="468013"/>
    <xdr:sp macro="" textlink="">
      <xdr:nvSpPr>
        <xdr:cNvPr id="46" name="TextBox 45">
          <a:extLst>
            <a:ext uri="{FF2B5EF4-FFF2-40B4-BE49-F238E27FC236}">
              <a16:creationId xmlns:a16="http://schemas.microsoft.com/office/drawing/2014/main" id="{926B1D80-6721-4A79-B7DD-CBE24D868EFC}"/>
            </a:ext>
          </a:extLst>
        </xdr:cNvPr>
        <xdr:cNvSpPr txBox="1"/>
      </xdr:nvSpPr>
      <xdr:spPr>
        <a:xfrm>
          <a:off x="35246930" y="19936047"/>
          <a:ext cx="2910772"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pt-BR" sz="2400">
              <a:solidFill>
                <a:schemeClr val="tx1"/>
              </a:solidFill>
            </a:rPr>
            <a:t>Demandas por Setor </a:t>
          </a:r>
        </a:p>
      </xdr:txBody>
    </xdr:sp>
    <xdr:clientData/>
  </xdr:oneCellAnchor>
  <xdr:oneCellAnchor>
    <xdr:from>
      <xdr:col>42</xdr:col>
      <xdr:colOff>0</xdr:colOff>
      <xdr:row>140</xdr:row>
      <xdr:rowOff>126195</xdr:rowOff>
    </xdr:from>
    <xdr:ext cx="4146697" cy="866177"/>
    <xdr:sp macro="" textlink="">
      <xdr:nvSpPr>
        <xdr:cNvPr id="47" name="TextBox 46">
          <a:extLst>
            <a:ext uri="{FF2B5EF4-FFF2-40B4-BE49-F238E27FC236}">
              <a16:creationId xmlns:a16="http://schemas.microsoft.com/office/drawing/2014/main" id="{F3E6AA90-139E-4ABC-88F9-A68387E54097}"/>
            </a:ext>
          </a:extLst>
        </xdr:cNvPr>
        <xdr:cNvSpPr txBox="1"/>
      </xdr:nvSpPr>
      <xdr:spPr>
        <a:xfrm>
          <a:off x="29026884" y="25201311"/>
          <a:ext cx="4146697" cy="8661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pt-BR" sz="3200">
              <a:solidFill>
                <a:schemeClr val="tx1"/>
              </a:solidFill>
            </a:rPr>
            <a:t>Demandas por Setor </a:t>
          </a:r>
        </a:p>
      </xdr:txBody>
    </xdr:sp>
    <xdr:clientData/>
  </xdr:oneCellAnchor>
  <xdr:oneCellAnchor>
    <xdr:from>
      <xdr:col>31</xdr:col>
      <xdr:colOff>388571</xdr:colOff>
      <xdr:row>75</xdr:row>
      <xdr:rowOff>42442</xdr:rowOff>
    </xdr:from>
    <xdr:ext cx="3402108" cy="468013"/>
    <xdr:sp macro="" textlink="">
      <xdr:nvSpPr>
        <xdr:cNvPr id="49" name="TextBox 48">
          <a:extLst>
            <a:ext uri="{FF2B5EF4-FFF2-40B4-BE49-F238E27FC236}">
              <a16:creationId xmlns:a16="http://schemas.microsoft.com/office/drawing/2014/main" id="{15E90E89-A41C-4A57-9262-C751F798734B}"/>
            </a:ext>
          </a:extLst>
        </xdr:cNvPr>
        <xdr:cNvSpPr txBox="1"/>
      </xdr:nvSpPr>
      <xdr:spPr>
        <a:xfrm>
          <a:off x="21739225" y="13494673"/>
          <a:ext cx="3402108"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pt-BR" sz="2400">
            <a:solidFill>
              <a:schemeClr val="tx1"/>
            </a:solidFill>
          </a:endParaRPr>
        </a:p>
      </xdr:txBody>
    </xdr:sp>
    <xdr:clientData/>
  </xdr:oneCellAnchor>
  <xdr:oneCellAnchor>
    <xdr:from>
      <xdr:col>32</xdr:col>
      <xdr:colOff>157040</xdr:colOff>
      <xdr:row>77</xdr:row>
      <xdr:rowOff>147950</xdr:rowOff>
    </xdr:from>
    <xdr:ext cx="3402108" cy="468013"/>
    <xdr:sp macro="" textlink="">
      <xdr:nvSpPr>
        <xdr:cNvPr id="52" name="TextBox 51">
          <a:extLst>
            <a:ext uri="{FF2B5EF4-FFF2-40B4-BE49-F238E27FC236}">
              <a16:creationId xmlns:a16="http://schemas.microsoft.com/office/drawing/2014/main" id="{F321A915-BF53-4DFE-8642-AE830DB906C9}"/>
            </a:ext>
          </a:extLst>
        </xdr:cNvPr>
        <xdr:cNvSpPr txBox="1"/>
      </xdr:nvSpPr>
      <xdr:spPr>
        <a:xfrm>
          <a:off x="22196425" y="13951873"/>
          <a:ext cx="3402108"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pt-BR" sz="2400">
            <a:solidFill>
              <a:schemeClr val="tx1"/>
            </a:solidFill>
          </a:endParaRPr>
        </a:p>
      </xdr:txBody>
    </xdr:sp>
    <xdr:clientData/>
  </xdr:oneCellAnchor>
  <xdr:oneCellAnchor>
    <xdr:from>
      <xdr:col>63</xdr:col>
      <xdr:colOff>14654</xdr:colOff>
      <xdr:row>89</xdr:row>
      <xdr:rowOff>59525</xdr:rowOff>
    </xdr:from>
    <xdr:ext cx="3402108" cy="468013"/>
    <xdr:sp macro="" textlink="">
      <xdr:nvSpPr>
        <xdr:cNvPr id="53" name="TextBox 52">
          <a:extLst>
            <a:ext uri="{FF2B5EF4-FFF2-40B4-BE49-F238E27FC236}">
              <a16:creationId xmlns:a16="http://schemas.microsoft.com/office/drawing/2014/main" id="{C7F47FDB-FC99-463A-90C5-BCB611CD0E43}"/>
            </a:ext>
          </a:extLst>
        </xdr:cNvPr>
        <xdr:cNvSpPr txBox="1"/>
      </xdr:nvSpPr>
      <xdr:spPr>
        <a:xfrm>
          <a:off x="43404692" y="15973602"/>
          <a:ext cx="3402108"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pt-BR" sz="2400">
              <a:solidFill>
                <a:schemeClr val="tx1"/>
              </a:solidFill>
            </a:rPr>
            <a:t>Status</a:t>
          </a:r>
          <a:r>
            <a:rPr lang="pt-BR" sz="2400" baseline="0">
              <a:solidFill>
                <a:schemeClr val="tx1"/>
              </a:solidFill>
            </a:rPr>
            <a:t> das manifestações</a:t>
          </a:r>
          <a:endParaRPr lang="pt-BR" sz="2400">
            <a:solidFill>
              <a:schemeClr val="tx1"/>
            </a:solidFill>
          </a:endParaRPr>
        </a:p>
      </xdr:txBody>
    </xdr:sp>
    <xdr:clientData/>
  </xdr:oneCellAnchor>
  <xdr:oneCellAnchor>
    <xdr:from>
      <xdr:col>62</xdr:col>
      <xdr:colOff>642353</xdr:colOff>
      <xdr:row>128</xdr:row>
      <xdr:rowOff>59525</xdr:rowOff>
    </xdr:from>
    <xdr:ext cx="3402108" cy="468013"/>
    <xdr:sp macro="" textlink="">
      <xdr:nvSpPr>
        <xdr:cNvPr id="54" name="TextBox 53">
          <a:extLst>
            <a:ext uri="{FF2B5EF4-FFF2-40B4-BE49-F238E27FC236}">
              <a16:creationId xmlns:a16="http://schemas.microsoft.com/office/drawing/2014/main" id="{B95CB1BA-295F-4F61-A4F8-231E00A4EE22}"/>
            </a:ext>
          </a:extLst>
        </xdr:cNvPr>
        <xdr:cNvSpPr txBox="1"/>
      </xdr:nvSpPr>
      <xdr:spPr>
        <a:xfrm>
          <a:off x="43343661" y="22831602"/>
          <a:ext cx="3402108"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pt-BR" sz="2400">
              <a:solidFill>
                <a:schemeClr val="tx1"/>
              </a:solidFill>
            </a:rPr>
            <a:t>Foi respondido no Prazo?</a:t>
          </a:r>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2</xdr:col>
      <xdr:colOff>667927</xdr:colOff>
      <xdr:row>2</xdr:row>
      <xdr:rowOff>0</xdr:rowOff>
    </xdr:from>
    <xdr:to>
      <xdr:col>7</xdr:col>
      <xdr:colOff>105952</xdr:colOff>
      <xdr:row>15</xdr:row>
      <xdr:rowOff>161924</xdr:rowOff>
    </xdr:to>
    <xdr:graphicFrame macro="">
      <xdr:nvGraphicFramePr>
        <xdr:cNvPr id="2" name="Gráfico 1">
          <a:extLst>
            <a:ext uri="{FF2B5EF4-FFF2-40B4-BE49-F238E27FC236}">
              <a16:creationId xmlns:a16="http://schemas.microsoft.com/office/drawing/2014/main" id="{1C5E5DA3-AC1D-DE32-6990-BAFF99A955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623887</xdr:colOff>
      <xdr:row>18</xdr:row>
      <xdr:rowOff>142875</xdr:rowOff>
    </xdr:from>
    <xdr:to>
      <xdr:col>7</xdr:col>
      <xdr:colOff>600075</xdr:colOff>
      <xdr:row>31</xdr:row>
      <xdr:rowOff>171450</xdr:rowOff>
    </xdr:to>
    <xdr:graphicFrame macro="">
      <xdr:nvGraphicFramePr>
        <xdr:cNvPr id="3" name="Gráfico 2">
          <a:extLst>
            <a:ext uri="{FF2B5EF4-FFF2-40B4-BE49-F238E27FC236}">
              <a16:creationId xmlns:a16="http://schemas.microsoft.com/office/drawing/2014/main" id="{1477C47D-CCB7-2E3D-2A18-17F04E5C0D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514349</xdr:colOff>
      <xdr:row>33</xdr:row>
      <xdr:rowOff>158995</xdr:rowOff>
    </xdr:from>
    <xdr:to>
      <xdr:col>7</xdr:col>
      <xdr:colOff>962024</xdr:colOff>
      <xdr:row>53</xdr:row>
      <xdr:rowOff>28575</xdr:rowOff>
    </xdr:to>
    <xdr:graphicFrame macro="">
      <xdr:nvGraphicFramePr>
        <xdr:cNvPr id="4" name="Gráfico 3">
          <a:extLst>
            <a:ext uri="{FF2B5EF4-FFF2-40B4-BE49-F238E27FC236}">
              <a16:creationId xmlns:a16="http://schemas.microsoft.com/office/drawing/2014/main" id="{F4115C6D-E16B-3C46-DE74-C08EFEA5FB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493205</xdr:colOff>
      <xdr:row>59</xdr:row>
      <xdr:rowOff>133515</xdr:rowOff>
    </xdr:from>
    <xdr:to>
      <xdr:col>9</xdr:col>
      <xdr:colOff>904875</xdr:colOff>
      <xdr:row>75</xdr:row>
      <xdr:rowOff>77521</xdr:rowOff>
    </xdr:to>
    <xdr:graphicFrame macro="">
      <xdr:nvGraphicFramePr>
        <xdr:cNvPr id="5" name="Gráfico 4">
          <a:extLst>
            <a:ext uri="{FF2B5EF4-FFF2-40B4-BE49-F238E27FC236}">
              <a16:creationId xmlns:a16="http://schemas.microsoft.com/office/drawing/2014/main" id="{61AC9981-722E-CAF6-3E7D-CC6B76CBE0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786528</xdr:colOff>
      <xdr:row>78</xdr:row>
      <xdr:rowOff>64583</xdr:rowOff>
    </xdr:from>
    <xdr:to>
      <xdr:col>6</xdr:col>
      <xdr:colOff>2238375</xdr:colOff>
      <xdr:row>93</xdr:row>
      <xdr:rowOff>119651</xdr:rowOff>
    </xdr:to>
    <xdr:graphicFrame macro="">
      <xdr:nvGraphicFramePr>
        <xdr:cNvPr id="6" name="Gráfico 5">
          <a:extLst>
            <a:ext uri="{FF2B5EF4-FFF2-40B4-BE49-F238E27FC236}">
              <a16:creationId xmlns:a16="http://schemas.microsoft.com/office/drawing/2014/main" id="{2FD5569C-BFD4-98CE-0AB2-6422EE7995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716062</xdr:colOff>
      <xdr:row>94</xdr:row>
      <xdr:rowOff>95250</xdr:rowOff>
    </xdr:from>
    <xdr:to>
      <xdr:col>7</xdr:col>
      <xdr:colOff>1533525</xdr:colOff>
      <xdr:row>110</xdr:row>
      <xdr:rowOff>97111</xdr:rowOff>
    </xdr:to>
    <xdr:graphicFrame macro="">
      <xdr:nvGraphicFramePr>
        <xdr:cNvPr id="7" name="Gráfico 6">
          <a:extLst>
            <a:ext uri="{FF2B5EF4-FFF2-40B4-BE49-F238E27FC236}">
              <a16:creationId xmlns:a16="http://schemas.microsoft.com/office/drawing/2014/main" id="{2164D714-9B21-DA00-D83D-15D98FD347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309562</xdr:colOff>
      <xdr:row>114</xdr:row>
      <xdr:rowOff>152400</xdr:rowOff>
    </xdr:from>
    <xdr:to>
      <xdr:col>6</xdr:col>
      <xdr:colOff>623887</xdr:colOff>
      <xdr:row>130</xdr:row>
      <xdr:rowOff>0</xdr:rowOff>
    </xdr:to>
    <xdr:graphicFrame macro="">
      <xdr:nvGraphicFramePr>
        <xdr:cNvPr id="8" name="Gráfico 7">
          <a:extLst>
            <a:ext uri="{FF2B5EF4-FFF2-40B4-BE49-F238E27FC236}">
              <a16:creationId xmlns:a16="http://schemas.microsoft.com/office/drawing/2014/main" id="{F970530E-D38A-AAD8-EE77-9C3CFCB890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oneCellAnchor>
    <xdr:from>
      <xdr:col>2</xdr:col>
      <xdr:colOff>1401995</xdr:colOff>
      <xdr:row>6</xdr:row>
      <xdr:rowOff>10703</xdr:rowOff>
    </xdr:from>
    <xdr:ext cx="327654" cy="264560"/>
    <xdr:sp macro="" textlink="">
      <xdr:nvSpPr>
        <xdr:cNvPr id="9" name="CaixaDeTexto 8">
          <a:extLst>
            <a:ext uri="{FF2B5EF4-FFF2-40B4-BE49-F238E27FC236}">
              <a16:creationId xmlns:a16="http://schemas.microsoft.com/office/drawing/2014/main" id="{17FAEC90-264D-AC60-7CC0-471C9423692F}"/>
            </a:ext>
          </a:extLst>
        </xdr:cNvPr>
        <xdr:cNvSpPr txBox="1"/>
      </xdr:nvSpPr>
      <xdr:spPr>
        <a:xfrm>
          <a:off x="5361826" y="1102332"/>
          <a:ext cx="32765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pt-BR" sz="1100" kern="1200"/>
            <a:t>21</a:t>
          </a:r>
        </a:p>
      </xdr:txBody>
    </xdr:sp>
    <xdr:clientData/>
  </xdr:one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colas Paiva Ferreira" refreshedDate="46164.499179861108" createdVersion="8" refreshedVersion="8" minRefreshableVersion="3" recordCount="240" xr:uid="{B5F07080-FA80-43F5-A320-BEC058402EF6}">
  <cacheSource type="worksheet">
    <worksheetSource name="BaseOuvidoria"/>
  </cacheSource>
  <cacheFields count="16">
    <cacheField name="Data_Entrada" numFmtId="14">
      <sharedItems containsSemiMixedTypes="0" containsNonDate="0" containsDate="1" containsString="0" minDate="2025-01-02T00:00:00" maxDate="2025-12-25T00:00:00" count="181">
        <d v="2025-01-26T00:00:00"/>
        <d v="2025-01-02T00:00:00"/>
        <d v="2025-01-13T00:00:00"/>
        <d v="2025-01-04T00:00:00"/>
        <d v="2025-01-29T00:00:00"/>
        <d v="2025-01-12T00:00:00"/>
        <d v="2025-01-17T00:00:00"/>
        <d v="2025-01-30T00:00:00"/>
        <d v="2025-01-24T00:00:00"/>
        <d v="2025-01-31T00:00:00"/>
        <d v="2025-01-16T00:00:00"/>
        <d v="2025-01-14T00:00:00"/>
        <d v="2025-02-17T00:00:00"/>
        <d v="2025-02-19T00:00:00"/>
        <d v="2025-02-06T00:00:00"/>
        <d v="2025-02-04T00:00:00"/>
        <d v="2025-02-11T00:00:00"/>
        <d v="2025-02-28T00:00:00"/>
        <d v="2025-02-21T00:00:00"/>
        <d v="2025-02-07T00:00:00"/>
        <d v="2025-02-08T00:00:00"/>
        <d v="2025-02-02T00:00:00"/>
        <d v="2025-02-01T00:00:00"/>
        <d v="2025-02-16T00:00:00"/>
        <d v="2025-02-18T00:00:00"/>
        <d v="2025-02-09T00:00:00"/>
        <d v="2025-03-10T00:00:00"/>
        <d v="2025-03-08T00:00:00"/>
        <d v="2025-03-23T00:00:00"/>
        <d v="2025-03-03T00:00:00"/>
        <d v="2025-03-31T00:00:00"/>
        <d v="2025-03-02T00:00:00"/>
        <d v="2025-03-05T00:00:00"/>
        <d v="2025-03-13T00:00:00"/>
        <d v="2025-03-09T00:00:00"/>
        <d v="2025-03-22T00:00:00"/>
        <d v="2025-03-18T00:00:00"/>
        <d v="2025-03-17T00:00:00"/>
        <d v="2025-03-06T00:00:00"/>
        <d v="2025-03-29T00:00:00"/>
        <d v="2025-03-25T00:00:00"/>
        <d v="2025-03-16T00:00:00"/>
        <d v="2025-03-21T00:00:00"/>
        <d v="2025-03-19T00:00:00"/>
        <d v="2025-04-30T00:00:00"/>
        <d v="2025-04-28T00:00:00"/>
        <d v="2025-04-02T00:00:00"/>
        <d v="2025-04-15T00:00:00"/>
        <d v="2025-04-18T00:00:00"/>
        <d v="2025-04-25T00:00:00"/>
        <d v="2025-04-16T00:00:00"/>
        <d v="2025-04-13T00:00:00"/>
        <d v="2025-04-07T00:00:00"/>
        <d v="2025-04-29T00:00:00"/>
        <d v="2025-04-10T00:00:00"/>
        <d v="2025-04-26T00:00:00"/>
        <d v="2025-04-14T00:00:00"/>
        <d v="2025-04-24T00:00:00"/>
        <d v="2025-05-08T00:00:00"/>
        <d v="2025-05-13T00:00:00"/>
        <d v="2025-05-25T00:00:00"/>
        <d v="2025-05-30T00:00:00"/>
        <d v="2025-05-09T00:00:00"/>
        <d v="2025-05-05T00:00:00"/>
        <d v="2025-05-07T00:00:00"/>
        <d v="2025-05-04T00:00:00"/>
        <d v="2025-05-20T00:00:00"/>
        <d v="2025-05-16T00:00:00"/>
        <d v="2025-05-14T00:00:00"/>
        <d v="2025-05-27T00:00:00"/>
        <d v="2025-06-19T00:00:00"/>
        <d v="2025-06-24T00:00:00"/>
        <d v="2025-06-14T00:00:00"/>
        <d v="2025-06-15T00:00:00"/>
        <d v="2025-06-08T00:00:00"/>
        <d v="2025-06-17T00:00:00"/>
        <d v="2025-06-02T00:00:00"/>
        <d v="2025-06-26T00:00:00"/>
        <d v="2025-06-03T00:00:00"/>
        <d v="2025-06-27T00:00:00"/>
        <d v="2025-06-01T00:00:00"/>
        <d v="2025-06-12T00:00:00"/>
        <d v="2025-06-25T00:00:00"/>
        <d v="2025-07-05T00:00:00"/>
        <d v="2025-07-26T00:00:00"/>
        <d v="2025-07-28T00:00:00"/>
        <d v="2025-07-31T00:00:00"/>
        <d v="2025-07-08T00:00:00"/>
        <d v="2025-07-23T00:00:00"/>
        <d v="2025-07-01T00:00:00"/>
        <d v="2025-07-14T00:00:00"/>
        <d v="2025-07-15T00:00:00"/>
        <d v="2025-07-09T00:00:00"/>
        <d v="2025-07-24T00:00:00"/>
        <d v="2025-07-30T00:00:00"/>
        <d v="2025-07-27T00:00:00"/>
        <d v="2025-07-11T00:00:00"/>
        <d v="2025-07-07T00:00:00"/>
        <d v="2025-07-25T00:00:00"/>
        <d v="2025-07-12T00:00:00"/>
        <d v="2025-07-22T00:00:00"/>
        <d v="2025-08-20T00:00:00"/>
        <d v="2025-08-31T00:00:00"/>
        <d v="2025-08-05T00:00:00"/>
        <d v="2025-08-23T00:00:00"/>
        <d v="2025-08-13T00:00:00"/>
        <d v="2025-08-01T00:00:00"/>
        <d v="2025-08-06T00:00:00"/>
        <d v="2025-08-03T00:00:00"/>
        <d v="2025-08-04T00:00:00"/>
        <d v="2025-08-10T00:00:00"/>
        <d v="2025-08-19T00:00:00"/>
        <d v="2025-08-21T00:00:00"/>
        <d v="2025-08-22T00:00:00"/>
        <d v="2025-08-16T00:00:00"/>
        <d v="2025-08-14T00:00:00"/>
        <d v="2025-08-30T00:00:00"/>
        <d v="2025-08-08T00:00:00"/>
        <d v="2025-08-11T00:00:00"/>
        <d v="2025-08-17T00:00:00"/>
        <d v="2025-08-24T00:00:00"/>
        <d v="2025-08-09T00:00:00"/>
        <d v="2025-09-06T00:00:00"/>
        <d v="2025-09-16T00:00:00"/>
        <d v="2025-09-17T00:00:00"/>
        <d v="2025-09-19T00:00:00"/>
        <d v="2025-09-29T00:00:00"/>
        <d v="2025-09-14T00:00:00"/>
        <d v="2025-09-27T00:00:00"/>
        <d v="2025-09-23T00:00:00"/>
        <d v="2025-09-13T00:00:00"/>
        <d v="2025-09-01T00:00:00"/>
        <d v="2025-09-21T00:00:00"/>
        <d v="2025-09-26T00:00:00"/>
        <d v="2025-10-29T00:00:00"/>
        <d v="2025-10-10T00:00:00"/>
        <d v="2025-10-04T00:00:00"/>
        <d v="2025-10-26T00:00:00"/>
        <d v="2025-10-02T00:00:00"/>
        <d v="2025-10-16T00:00:00"/>
        <d v="2025-10-06T00:00:00"/>
        <d v="2025-10-05T00:00:00"/>
        <d v="2025-10-17T00:00:00"/>
        <d v="2025-10-11T00:00:00"/>
        <d v="2025-10-01T00:00:00"/>
        <d v="2025-11-24T00:00:00"/>
        <d v="2025-11-22T00:00:00"/>
        <d v="2025-11-25T00:00:00"/>
        <d v="2025-11-03T00:00:00"/>
        <d v="2025-11-07T00:00:00"/>
        <d v="2025-11-12T00:00:00"/>
        <d v="2025-11-01T00:00:00"/>
        <d v="2025-11-26T00:00:00"/>
        <d v="2025-11-17T00:00:00"/>
        <d v="2025-11-29T00:00:00"/>
        <d v="2025-11-15T00:00:00"/>
        <d v="2025-11-06T00:00:00"/>
        <d v="2025-11-02T00:00:00"/>
        <d v="2025-11-09T00:00:00"/>
        <d v="2025-11-20T00:00:00"/>
        <d v="2025-11-08T00:00:00"/>
        <d v="2025-11-10T00:00:00"/>
        <d v="2025-11-30T00:00:00"/>
        <d v="2025-11-28T00:00:00"/>
        <d v="2025-11-11T00:00:00"/>
        <d v="2025-11-05T00:00:00"/>
        <d v="2025-11-23T00:00:00"/>
        <d v="2025-11-19T00:00:00"/>
        <d v="2025-12-02T00:00:00"/>
        <d v="2025-12-15T00:00:00"/>
        <d v="2025-12-18T00:00:00"/>
        <d v="2025-12-09T00:00:00"/>
        <d v="2025-12-20T00:00:00"/>
        <d v="2025-12-24T00:00:00"/>
        <d v="2025-12-06T00:00:00"/>
        <d v="2025-12-14T00:00:00"/>
        <d v="2025-12-22T00:00:00"/>
        <d v="2025-12-08T00:00:00"/>
        <d v="2025-12-07T00:00:00"/>
        <d v="2025-12-10T00:00:00"/>
        <d v="2025-12-11T00:00:00"/>
      </sharedItems>
      <fieldGroup par="15"/>
    </cacheField>
    <cacheField name="Mês" numFmtId="164">
      <sharedItems count="12">
        <s v="jan"/>
        <s v="fev"/>
        <s v="Mar"/>
        <s v="Abr"/>
        <s v="Mai"/>
        <s v="Jun"/>
        <s v="Jul"/>
        <s v="Ago"/>
        <s v="set"/>
        <s v="Out"/>
        <s v="Nov"/>
        <s v="Dez."/>
      </sharedItems>
    </cacheField>
    <cacheField name="Canal" numFmtId="0">
      <sharedItems count="6">
        <s v="Telefone"/>
        <s v="Fala.Br"/>
        <s v="SEI"/>
        <s v="E-mail"/>
        <s v="WhatsApp"/>
        <s v="Presencial"/>
      </sharedItems>
    </cacheField>
    <cacheField name="Tipo_Manifestação" numFmtId="0">
      <sharedItems count="6">
        <s v="Denúncia"/>
        <s v="Solicitação"/>
        <s v="Sugestão"/>
        <s v="Reclamação"/>
        <s v="Pedido de Informação"/>
        <s v="Elogio"/>
      </sharedItems>
    </cacheField>
    <cacheField name="Assunto" numFmtId="0">
      <sharedItems count="12">
        <s v="Educação ambiental"/>
        <s v="Acesso à informação"/>
        <s v="Desmatamento"/>
        <s v="Licenciamento ambiental"/>
        <s v="Queimada"/>
        <s v="Áreas protegidas"/>
        <s v="Fiscalização ambiental"/>
        <s v="Resíduos sólidos"/>
        <s v="Atendimento ao cidadão"/>
        <s v="Processo administrativo"/>
        <s v="Agilidade de resposta"/>
        <s v="Competência de outro órgão"/>
      </sharedItems>
    </cacheField>
    <cacheField name="Setor_MMA" numFmtId="0">
      <sharedItems count="8">
        <s v="SECD"/>
        <s v="Consultoria Jurídica"/>
        <s v="SPOA"/>
        <s v="Ouvidoria"/>
        <s v="CGTI"/>
        <s v="Gabinete"/>
        <s v="Secretaria de Clima"/>
        <s v="Secretaria de Biodiversidade"/>
      </sharedItems>
    </cacheField>
    <cacheField name="UF" numFmtId="0">
      <sharedItems count="13">
        <s v="DF"/>
        <s v="SP"/>
        <s v="TO"/>
        <s v="PA"/>
        <s v="AM"/>
        <s v="RO"/>
        <s v="GO"/>
        <s v="MA"/>
        <s v="MT"/>
        <s v="MG"/>
        <s v="RR"/>
        <s v="AC"/>
        <s v="RJ"/>
      </sharedItems>
    </cacheField>
    <cacheField name="Status" numFmtId="0">
      <sharedItems count="5">
        <s v="Concluída"/>
        <s v="Em análise"/>
        <s v="Encaminhada"/>
        <s v="Aguardando resposta"/>
        <s v="Arquivada"/>
      </sharedItems>
    </cacheField>
    <cacheField name="Dias_Resposta" numFmtId="1">
      <sharedItems containsSemiMixedTypes="0" containsString="0" containsNumber="1" minValue="1" maxValue="48" count="33">
        <n v="9"/>
        <n v="4"/>
        <n v="1"/>
        <n v="3"/>
        <n v="23"/>
        <n v="33"/>
        <n v="10"/>
        <n v="28"/>
        <n v="29"/>
        <n v="27"/>
        <n v="15"/>
        <n v="7"/>
        <n v="2"/>
        <n v="13"/>
        <n v="6"/>
        <n v="16"/>
        <n v="18"/>
        <n v="21"/>
        <n v="20"/>
        <n v="14"/>
        <n v="19"/>
        <n v="12"/>
        <n v="17"/>
        <n v="11"/>
        <n v="8"/>
        <n v="5"/>
        <n v="22"/>
        <n v="25"/>
        <n v="48"/>
        <n v="35"/>
        <n v="39"/>
        <n v="26"/>
        <n v="10.803347280334728"/>
      </sharedItems>
    </cacheField>
    <cacheField name="Prazo_Dias" numFmtId="1">
      <sharedItems containsSemiMixedTypes="0" containsString="0" containsNumber="1" containsInteger="1" minValue="20" maxValue="30" count="2">
        <n v="30"/>
        <n v="20"/>
      </sharedItems>
    </cacheField>
    <cacheField name="Dentro_do_Prazo" numFmtId="0">
      <sharedItems count="2">
        <s v="Sim"/>
        <s v="Não"/>
      </sharedItems>
    </cacheField>
    <cacheField name="Prioridade" numFmtId="0">
      <sharedItems/>
    </cacheField>
    <cacheField name="Satisfação_1a5" numFmtId="1">
      <sharedItems containsString="0" containsBlank="1" containsNumber="1" containsInteger="1" minValue="1" maxValue="5" count="6">
        <n v="1"/>
        <n v="3"/>
        <m/>
        <n v="2"/>
        <n v="4"/>
        <n v="5"/>
      </sharedItems>
    </cacheField>
    <cacheField name="Encaminhar_Para" numFmtId="0">
      <sharedItems/>
    </cacheField>
    <cacheField name="Dias (Data_Entrada)" numFmtId="0" databaseField="0">
      <fieldGroup base="0">
        <rangePr groupBy="days" startDate="2025-01-02T00:00:00" endDate="2025-12-25T00:00:00"/>
        <groupItems count="368">
          <s v="&lt;02/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v"/>
          <s v="02/fev"/>
          <s v="03/fev"/>
          <s v="04/fev"/>
          <s v="05/fev"/>
          <s v="06/fev"/>
          <s v="07/fev"/>
          <s v="08/fev"/>
          <s v="09/fev"/>
          <s v="10/fev"/>
          <s v="11/fev"/>
          <s v="12/fev"/>
          <s v="13/fev"/>
          <s v="14/fev"/>
          <s v="15/fev"/>
          <s v="16/fev"/>
          <s v="17/fev"/>
          <s v="18/fev"/>
          <s v="19/fev"/>
          <s v="20/fev"/>
          <s v="21/fev"/>
          <s v="22/fev"/>
          <s v="23/fev"/>
          <s v="24/fev"/>
          <s v="25/fev"/>
          <s v="26/fev"/>
          <s v="27/fev"/>
          <s v="28/fev"/>
          <s v="29/fev"/>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br"/>
          <s v="02/abr"/>
          <s v="03/abr"/>
          <s v="04/abr"/>
          <s v="05/abr"/>
          <s v="06/abr"/>
          <s v="07/abr"/>
          <s v="08/abr"/>
          <s v="09/abr"/>
          <s v="10/abr"/>
          <s v="11/abr"/>
          <s v="12/abr"/>
          <s v="13/abr"/>
          <s v="14/abr"/>
          <s v="15/abr"/>
          <s v="16/abr"/>
          <s v="17/abr"/>
          <s v="18/abr"/>
          <s v="19/abr"/>
          <s v="20/abr"/>
          <s v="21/abr"/>
          <s v="22/abr"/>
          <s v="23/abr"/>
          <s v="24/abr"/>
          <s v="25/abr"/>
          <s v="26/abr"/>
          <s v="27/abr"/>
          <s v="28/abr"/>
          <s v="29/abr"/>
          <s v="30/abr"/>
          <s v="01/mai"/>
          <s v="02/mai"/>
          <s v="03/mai"/>
          <s v="04/mai"/>
          <s v="05/mai"/>
          <s v="06/mai"/>
          <s v="07/mai"/>
          <s v="08/mai"/>
          <s v="09/mai"/>
          <s v="10/mai"/>
          <s v="11/mai"/>
          <s v="12/mai"/>
          <s v="13/mai"/>
          <s v="14/mai"/>
          <s v="15/mai"/>
          <s v="16/mai"/>
          <s v="17/mai"/>
          <s v="18/mai"/>
          <s v="19/mai"/>
          <s v="20/mai"/>
          <s v="21/mai"/>
          <s v="22/mai"/>
          <s v="23/mai"/>
          <s v="24/mai"/>
          <s v="25/mai"/>
          <s v="26/mai"/>
          <s v="27/mai"/>
          <s v="28/mai"/>
          <s v="29/mai"/>
          <s v="30/mai"/>
          <s v="31/mai"/>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go"/>
          <s v="02/ago"/>
          <s v="03/ago"/>
          <s v="04/ago"/>
          <s v="05/ago"/>
          <s v="06/ago"/>
          <s v="07/ago"/>
          <s v="08/ago"/>
          <s v="09/ago"/>
          <s v="10/ago"/>
          <s v="11/ago"/>
          <s v="12/ago"/>
          <s v="13/ago"/>
          <s v="14/ago"/>
          <s v="15/ago"/>
          <s v="16/ago"/>
          <s v="17/ago"/>
          <s v="18/ago"/>
          <s v="19/ago"/>
          <s v="20/ago"/>
          <s v="21/ago"/>
          <s v="22/ago"/>
          <s v="23/ago"/>
          <s v="24/ago"/>
          <s v="25/ago"/>
          <s v="26/ago"/>
          <s v="27/ago"/>
          <s v="28/ago"/>
          <s v="29/ago"/>
          <s v="30/ago"/>
          <s v="31/ago"/>
          <s v="01/set"/>
          <s v="02/set"/>
          <s v="03/set"/>
          <s v="04/set"/>
          <s v="05/set"/>
          <s v="06/set"/>
          <s v="07/set"/>
          <s v="08/set"/>
          <s v="09/set"/>
          <s v="10/set"/>
          <s v="11/set"/>
          <s v="12/set"/>
          <s v="13/set"/>
          <s v="14/set"/>
          <s v="15/set"/>
          <s v="16/set"/>
          <s v="17/set"/>
          <s v="18/set"/>
          <s v="19/set"/>
          <s v="20/set"/>
          <s v="21/set"/>
          <s v="22/set"/>
          <s v="23/set"/>
          <s v="24/set"/>
          <s v="25/set"/>
          <s v="26/set"/>
          <s v="27/set"/>
          <s v="28/set"/>
          <s v="29/set"/>
          <s v="30/set"/>
          <s v="01/out"/>
          <s v="02/out"/>
          <s v="03/out"/>
          <s v="04/out"/>
          <s v="05/out"/>
          <s v="06/out"/>
          <s v="07/out"/>
          <s v="08/out"/>
          <s v="09/out"/>
          <s v="10/out"/>
          <s v="11/out"/>
          <s v="12/out"/>
          <s v="13/out"/>
          <s v="14/out"/>
          <s v="15/out"/>
          <s v="16/out"/>
          <s v="17/out"/>
          <s v="18/out"/>
          <s v="19/out"/>
          <s v="20/out"/>
          <s v="21/out"/>
          <s v="22/out"/>
          <s v="23/out"/>
          <s v="24/out"/>
          <s v="25/out"/>
          <s v="26/out"/>
          <s v="27/out"/>
          <s v="28/out"/>
          <s v="29/out"/>
          <s v="30/out"/>
          <s v="31/out"/>
          <s v="01/nov"/>
          <s v="02/nov"/>
          <s v="03/nov"/>
          <s v="04/nov"/>
          <s v="05/nov"/>
          <s v="06/nov"/>
          <s v="07/nov"/>
          <s v="08/nov"/>
          <s v="09/nov"/>
          <s v="10/nov"/>
          <s v="11/nov"/>
          <s v="12/nov"/>
          <s v="13/nov"/>
          <s v="14/nov"/>
          <s v="15/nov"/>
          <s v="16/nov"/>
          <s v="17/nov"/>
          <s v="18/nov"/>
          <s v="19/nov"/>
          <s v="20/nov"/>
          <s v="21/nov"/>
          <s v="22/nov"/>
          <s v="23/nov"/>
          <s v="24/nov"/>
          <s v="25/nov"/>
          <s v="26/nov"/>
          <s v="27/nov"/>
          <s v="28/nov"/>
          <s v="29/nov"/>
          <s v="30/nov"/>
          <s v="01/dez"/>
          <s v="02/dez"/>
          <s v="03/dez"/>
          <s v="04/dez"/>
          <s v="05/dez"/>
          <s v="06/dez"/>
          <s v="07/dez"/>
          <s v="08/dez"/>
          <s v="09/dez"/>
          <s v="10/dez"/>
          <s v="11/dez"/>
          <s v="12/dez"/>
          <s v="13/dez"/>
          <s v="14/dez"/>
          <s v="15/dez"/>
          <s v="16/dez"/>
          <s v="17/dez"/>
          <s v="18/dez"/>
          <s v="19/dez"/>
          <s v="20/dez"/>
          <s v="21/dez"/>
          <s v="22/dez"/>
          <s v="23/dez"/>
          <s v="24/dez"/>
          <s v="25/dez"/>
          <s v="26/dez"/>
          <s v="27/dez"/>
          <s v="28/dez"/>
          <s v="29/dez"/>
          <s v="30/dez"/>
          <s v="31/dez"/>
          <s v="&gt;25/12/2025"/>
        </groupItems>
      </fieldGroup>
    </cacheField>
    <cacheField name="Meses (Data_Entrada)" numFmtId="0" databaseField="0">
      <fieldGroup base="0">
        <rangePr groupBy="months" startDate="2025-01-02T00:00:00" endDate="2025-12-25T00:00:00"/>
        <groupItems count="14">
          <s v="&lt;02/01/2025"/>
          <s v="jan"/>
          <s v="fev"/>
          <s v="mar"/>
          <s v="abr"/>
          <s v="mai"/>
          <s v="jun"/>
          <s v="jul"/>
          <s v="ago"/>
          <s v="set"/>
          <s v="out"/>
          <s v="nov"/>
          <s v="dez"/>
          <s v="&gt;25/12/2025"/>
        </groupItems>
      </fieldGroup>
    </cacheField>
  </cacheFields>
  <extLst>
    <ext xmlns:x14="http://schemas.microsoft.com/office/spreadsheetml/2009/9/main" uri="{725AE2AE-9491-48be-B2B4-4EB974FC3084}">
      <x14:pivotCacheDefinition pivotCacheId="61212671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
  <r>
    <x v="0"/>
    <x v="0"/>
    <x v="0"/>
    <x v="0"/>
    <x v="0"/>
    <x v="0"/>
    <x v="0"/>
    <x v="0"/>
    <x v="0"/>
    <x v="0"/>
    <x v="0"/>
    <s v="Alta"/>
    <x v="0"/>
    <s v="CGU"/>
  </r>
  <r>
    <x v="1"/>
    <x v="0"/>
    <x v="1"/>
    <x v="1"/>
    <x v="1"/>
    <x v="1"/>
    <x v="1"/>
    <x v="0"/>
    <x v="1"/>
    <x v="1"/>
    <x v="0"/>
    <s v="Média"/>
    <x v="1"/>
    <s v="Prefeitura"/>
  </r>
  <r>
    <x v="2"/>
    <x v="0"/>
    <x v="2"/>
    <x v="0"/>
    <x v="2"/>
    <x v="2"/>
    <x v="2"/>
    <x v="1"/>
    <x v="2"/>
    <x v="0"/>
    <x v="0"/>
    <s v="Média"/>
    <x v="2"/>
    <s v="IBAMA"/>
  </r>
  <r>
    <x v="0"/>
    <x v="0"/>
    <x v="1"/>
    <x v="2"/>
    <x v="3"/>
    <x v="2"/>
    <x v="0"/>
    <x v="2"/>
    <x v="3"/>
    <x v="1"/>
    <x v="0"/>
    <s v="Baixa"/>
    <x v="2"/>
    <s v="ANA"/>
  </r>
  <r>
    <x v="3"/>
    <x v="0"/>
    <x v="3"/>
    <x v="3"/>
    <x v="3"/>
    <x v="2"/>
    <x v="3"/>
    <x v="3"/>
    <x v="4"/>
    <x v="1"/>
    <x v="1"/>
    <s v="Média"/>
    <x v="2"/>
    <s v="IBAMA"/>
  </r>
  <r>
    <x v="4"/>
    <x v="0"/>
    <x v="1"/>
    <x v="3"/>
    <x v="4"/>
    <x v="3"/>
    <x v="0"/>
    <x v="3"/>
    <x v="5"/>
    <x v="1"/>
    <x v="1"/>
    <s v="Alta"/>
    <x v="2"/>
    <s v="CGU"/>
  </r>
  <r>
    <x v="0"/>
    <x v="0"/>
    <x v="4"/>
    <x v="1"/>
    <x v="0"/>
    <x v="1"/>
    <x v="4"/>
    <x v="0"/>
    <x v="6"/>
    <x v="1"/>
    <x v="0"/>
    <s v="Baixa"/>
    <x v="3"/>
    <s v="MDA"/>
  </r>
  <r>
    <x v="5"/>
    <x v="0"/>
    <x v="5"/>
    <x v="3"/>
    <x v="5"/>
    <x v="4"/>
    <x v="0"/>
    <x v="0"/>
    <x v="7"/>
    <x v="1"/>
    <x v="1"/>
    <s v="Alta"/>
    <x v="0"/>
    <s v="Órgão Estadual"/>
  </r>
  <r>
    <x v="6"/>
    <x v="0"/>
    <x v="1"/>
    <x v="1"/>
    <x v="6"/>
    <x v="5"/>
    <x v="4"/>
    <x v="3"/>
    <x v="8"/>
    <x v="1"/>
    <x v="1"/>
    <s v="Baixa"/>
    <x v="2"/>
    <s v="Ministério dos Transportes"/>
  </r>
  <r>
    <x v="5"/>
    <x v="0"/>
    <x v="3"/>
    <x v="4"/>
    <x v="7"/>
    <x v="5"/>
    <x v="3"/>
    <x v="3"/>
    <x v="9"/>
    <x v="1"/>
    <x v="1"/>
    <s v="Baixa"/>
    <x v="2"/>
    <s v="MAPA"/>
  </r>
  <r>
    <x v="4"/>
    <x v="0"/>
    <x v="2"/>
    <x v="1"/>
    <x v="6"/>
    <x v="6"/>
    <x v="5"/>
    <x v="2"/>
    <x v="0"/>
    <x v="1"/>
    <x v="0"/>
    <s v="Alta"/>
    <x v="2"/>
    <s v="Prefeitura"/>
  </r>
  <r>
    <x v="7"/>
    <x v="0"/>
    <x v="2"/>
    <x v="0"/>
    <x v="8"/>
    <x v="0"/>
    <x v="3"/>
    <x v="0"/>
    <x v="10"/>
    <x v="0"/>
    <x v="0"/>
    <s v="Baixa"/>
    <x v="0"/>
    <s v="Órgão Estadual"/>
  </r>
  <r>
    <x v="8"/>
    <x v="0"/>
    <x v="1"/>
    <x v="0"/>
    <x v="6"/>
    <x v="7"/>
    <x v="5"/>
    <x v="1"/>
    <x v="11"/>
    <x v="0"/>
    <x v="0"/>
    <s v="Baixa"/>
    <x v="2"/>
    <s v="ANA"/>
  </r>
  <r>
    <x v="9"/>
    <x v="0"/>
    <x v="4"/>
    <x v="0"/>
    <x v="1"/>
    <x v="1"/>
    <x v="2"/>
    <x v="0"/>
    <x v="1"/>
    <x v="0"/>
    <x v="0"/>
    <s v="Baixa"/>
    <x v="1"/>
    <s v="Prefeitura"/>
  </r>
  <r>
    <x v="10"/>
    <x v="0"/>
    <x v="5"/>
    <x v="5"/>
    <x v="4"/>
    <x v="2"/>
    <x v="4"/>
    <x v="4"/>
    <x v="12"/>
    <x v="0"/>
    <x v="0"/>
    <s v="Média"/>
    <x v="0"/>
    <s v="CGU"/>
  </r>
  <r>
    <x v="11"/>
    <x v="0"/>
    <x v="3"/>
    <x v="4"/>
    <x v="7"/>
    <x v="1"/>
    <x v="6"/>
    <x v="3"/>
    <x v="13"/>
    <x v="1"/>
    <x v="0"/>
    <s v="Baixa"/>
    <x v="2"/>
    <s v="Ministério dos Transportes"/>
  </r>
  <r>
    <x v="12"/>
    <x v="1"/>
    <x v="0"/>
    <x v="1"/>
    <x v="3"/>
    <x v="2"/>
    <x v="7"/>
    <x v="2"/>
    <x v="14"/>
    <x v="1"/>
    <x v="0"/>
    <s v="Baixa"/>
    <x v="2"/>
    <s v="Órgão Estadual"/>
  </r>
  <r>
    <x v="13"/>
    <x v="1"/>
    <x v="3"/>
    <x v="3"/>
    <x v="2"/>
    <x v="3"/>
    <x v="8"/>
    <x v="0"/>
    <x v="4"/>
    <x v="1"/>
    <x v="1"/>
    <s v="Alta"/>
    <x v="4"/>
    <s v="IBAMA"/>
  </r>
  <r>
    <x v="14"/>
    <x v="1"/>
    <x v="1"/>
    <x v="0"/>
    <x v="4"/>
    <x v="0"/>
    <x v="8"/>
    <x v="3"/>
    <x v="15"/>
    <x v="0"/>
    <x v="0"/>
    <s v="Média"/>
    <x v="2"/>
    <s v="ANA"/>
  </r>
  <r>
    <x v="15"/>
    <x v="1"/>
    <x v="1"/>
    <x v="5"/>
    <x v="3"/>
    <x v="2"/>
    <x v="5"/>
    <x v="0"/>
    <x v="16"/>
    <x v="0"/>
    <x v="0"/>
    <s v="Média"/>
    <x v="1"/>
    <s v="MDA"/>
  </r>
  <r>
    <x v="12"/>
    <x v="1"/>
    <x v="4"/>
    <x v="2"/>
    <x v="7"/>
    <x v="2"/>
    <x v="6"/>
    <x v="0"/>
    <x v="9"/>
    <x v="1"/>
    <x v="1"/>
    <s v="Média"/>
    <x v="0"/>
    <s v="Órgão Estadual"/>
  </r>
  <r>
    <x v="16"/>
    <x v="1"/>
    <x v="1"/>
    <x v="1"/>
    <x v="7"/>
    <x v="2"/>
    <x v="0"/>
    <x v="0"/>
    <x v="13"/>
    <x v="1"/>
    <x v="0"/>
    <s v="Média"/>
    <x v="4"/>
    <s v="MMA - Ouvidoria"/>
  </r>
  <r>
    <x v="17"/>
    <x v="1"/>
    <x v="4"/>
    <x v="0"/>
    <x v="9"/>
    <x v="0"/>
    <x v="0"/>
    <x v="0"/>
    <x v="17"/>
    <x v="0"/>
    <x v="0"/>
    <s v="Baixa"/>
    <x v="5"/>
    <s v="MDA"/>
  </r>
  <r>
    <x v="18"/>
    <x v="1"/>
    <x v="3"/>
    <x v="0"/>
    <x v="7"/>
    <x v="5"/>
    <x v="1"/>
    <x v="4"/>
    <x v="18"/>
    <x v="0"/>
    <x v="0"/>
    <s v="Baixa"/>
    <x v="5"/>
    <s v="Ministério dos Transportes"/>
  </r>
  <r>
    <x v="19"/>
    <x v="1"/>
    <x v="3"/>
    <x v="3"/>
    <x v="1"/>
    <x v="5"/>
    <x v="7"/>
    <x v="0"/>
    <x v="3"/>
    <x v="1"/>
    <x v="0"/>
    <s v="Alta"/>
    <x v="0"/>
    <s v="ANA"/>
  </r>
  <r>
    <x v="20"/>
    <x v="1"/>
    <x v="2"/>
    <x v="1"/>
    <x v="0"/>
    <x v="5"/>
    <x v="9"/>
    <x v="2"/>
    <x v="12"/>
    <x v="1"/>
    <x v="0"/>
    <s v="Baixa"/>
    <x v="2"/>
    <s v="Prefeitura"/>
  </r>
  <r>
    <x v="17"/>
    <x v="1"/>
    <x v="3"/>
    <x v="5"/>
    <x v="5"/>
    <x v="4"/>
    <x v="3"/>
    <x v="0"/>
    <x v="3"/>
    <x v="0"/>
    <x v="0"/>
    <s v="Alta"/>
    <x v="5"/>
    <s v="MDA"/>
  </r>
  <r>
    <x v="16"/>
    <x v="1"/>
    <x v="1"/>
    <x v="3"/>
    <x v="3"/>
    <x v="6"/>
    <x v="3"/>
    <x v="1"/>
    <x v="14"/>
    <x v="1"/>
    <x v="0"/>
    <s v="Baixa"/>
    <x v="2"/>
    <s v="IBAMA"/>
  </r>
  <r>
    <x v="13"/>
    <x v="1"/>
    <x v="3"/>
    <x v="5"/>
    <x v="6"/>
    <x v="3"/>
    <x v="5"/>
    <x v="1"/>
    <x v="11"/>
    <x v="0"/>
    <x v="0"/>
    <s v="Baixa"/>
    <x v="2"/>
    <s v="IBAMA"/>
  </r>
  <r>
    <x v="12"/>
    <x v="1"/>
    <x v="3"/>
    <x v="5"/>
    <x v="2"/>
    <x v="6"/>
    <x v="4"/>
    <x v="4"/>
    <x v="12"/>
    <x v="0"/>
    <x v="0"/>
    <s v="Baixa"/>
    <x v="4"/>
    <s v="ANA"/>
  </r>
  <r>
    <x v="21"/>
    <x v="1"/>
    <x v="2"/>
    <x v="1"/>
    <x v="1"/>
    <x v="3"/>
    <x v="10"/>
    <x v="1"/>
    <x v="6"/>
    <x v="1"/>
    <x v="0"/>
    <s v="Média"/>
    <x v="2"/>
    <s v="MDA"/>
  </r>
  <r>
    <x v="17"/>
    <x v="1"/>
    <x v="1"/>
    <x v="1"/>
    <x v="8"/>
    <x v="4"/>
    <x v="4"/>
    <x v="0"/>
    <x v="0"/>
    <x v="1"/>
    <x v="0"/>
    <s v="Baixa"/>
    <x v="5"/>
    <s v="MDA"/>
  </r>
  <r>
    <x v="22"/>
    <x v="1"/>
    <x v="2"/>
    <x v="2"/>
    <x v="6"/>
    <x v="0"/>
    <x v="0"/>
    <x v="3"/>
    <x v="11"/>
    <x v="1"/>
    <x v="0"/>
    <s v="Média"/>
    <x v="2"/>
    <s v="Órgão Estadual"/>
  </r>
  <r>
    <x v="23"/>
    <x v="1"/>
    <x v="3"/>
    <x v="4"/>
    <x v="3"/>
    <x v="0"/>
    <x v="3"/>
    <x v="0"/>
    <x v="19"/>
    <x v="1"/>
    <x v="0"/>
    <s v="Baixa"/>
    <x v="4"/>
    <s v="MDA"/>
  </r>
  <r>
    <x v="12"/>
    <x v="1"/>
    <x v="3"/>
    <x v="3"/>
    <x v="4"/>
    <x v="3"/>
    <x v="7"/>
    <x v="0"/>
    <x v="3"/>
    <x v="1"/>
    <x v="0"/>
    <s v="Média"/>
    <x v="1"/>
    <s v="CGU"/>
  </r>
  <r>
    <x v="24"/>
    <x v="1"/>
    <x v="2"/>
    <x v="4"/>
    <x v="6"/>
    <x v="1"/>
    <x v="4"/>
    <x v="3"/>
    <x v="15"/>
    <x v="1"/>
    <x v="0"/>
    <s v="Média"/>
    <x v="2"/>
    <s v="MMA - Ouvidoria"/>
  </r>
  <r>
    <x v="25"/>
    <x v="1"/>
    <x v="2"/>
    <x v="3"/>
    <x v="7"/>
    <x v="1"/>
    <x v="5"/>
    <x v="0"/>
    <x v="13"/>
    <x v="1"/>
    <x v="0"/>
    <s v="Baixa"/>
    <x v="1"/>
    <s v="MMA - Ouvidoria"/>
  </r>
  <r>
    <x v="26"/>
    <x v="2"/>
    <x v="2"/>
    <x v="1"/>
    <x v="5"/>
    <x v="0"/>
    <x v="4"/>
    <x v="1"/>
    <x v="11"/>
    <x v="1"/>
    <x v="0"/>
    <s v="Média"/>
    <x v="2"/>
    <s v="MDA"/>
  </r>
  <r>
    <x v="27"/>
    <x v="2"/>
    <x v="1"/>
    <x v="5"/>
    <x v="5"/>
    <x v="5"/>
    <x v="5"/>
    <x v="0"/>
    <x v="20"/>
    <x v="0"/>
    <x v="0"/>
    <s v="Baixa"/>
    <x v="0"/>
    <s v="MAPA"/>
  </r>
  <r>
    <x v="28"/>
    <x v="2"/>
    <x v="1"/>
    <x v="2"/>
    <x v="9"/>
    <x v="1"/>
    <x v="11"/>
    <x v="3"/>
    <x v="21"/>
    <x v="1"/>
    <x v="0"/>
    <s v="Média"/>
    <x v="2"/>
    <s v="ANA"/>
  </r>
  <r>
    <x v="29"/>
    <x v="2"/>
    <x v="0"/>
    <x v="2"/>
    <x v="3"/>
    <x v="5"/>
    <x v="2"/>
    <x v="0"/>
    <x v="6"/>
    <x v="1"/>
    <x v="0"/>
    <s v="Baixa"/>
    <x v="4"/>
    <s v="IBAMA"/>
  </r>
  <r>
    <x v="30"/>
    <x v="2"/>
    <x v="4"/>
    <x v="3"/>
    <x v="9"/>
    <x v="0"/>
    <x v="9"/>
    <x v="0"/>
    <x v="22"/>
    <x v="1"/>
    <x v="0"/>
    <s v="Média"/>
    <x v="4"/>
    <s v="MAPA"/>
  </r>
  <r>
    <x v="31"/>
    <x v="2"/>
    <x v="1"/>
    <x v="5"/>
    <x v="10"/>
    <x v="7"/>
    <x v="3"/>
    <x v="0"/>
    <x v="23"/>
    <x v="0"/>
    <x v="0"/>
    <s v="Média"/>
    <x v="4"/>
    <s v="ANA"/>
  </r>
  <r>
    <x v="32"/>
    <x v="2"/>
    <x v="4"/>
    <x v="3"/>
    <x v="7"/>
    <x v="5"/>
    <x v="6"/>
    <x v="4"/>
    <x v="16"/>
    <x v="1"/>
    <x v="0"/>
    <s v="Baixa"/>
    <x v="3"/>
    <s v="Órgão Estadual"/>
  </r>
  <r>
    <x v="33"/>
    <x v="2"/>
    <x v="1"/>
    <x v="1"/>
    <x v="11"/>
    <x v="4"/>
    <x v="0"/>
    <x v="3"/>
    <x v="17"/>
    <x v="1"/>
    <x v="1"/>
    <s v="Baixa"/>
    <x v="2"/>
    <s v="Órgão Estadual"/>
  </r>
  <r>
    <x v="34"/>
    <x v="2"/>
    <x v="5"/>
    <x v="1"/>
    <x v="6"/>
    <x v="6"/>
    <x v="0"/>
    <x v="0"/>
    <x v="6"/>
    <x v="1"/>
    <x v="0"/>
    <s v="Baixa"/>
    <x v="4"/>
    <s v="Prefeitura"/>
  </r>
  <r>
    <x v="35"/>
    <x v="2"/>
    <x v="4"/>
    <x v="3"/>
    <x v="5"/>
    <x v="4"/>
    <x v="1"/>
    <x v="0"/>
    <x v="23"/>
    <x v="1"/>
    <x v="0"/>
    <s v="Baixa"/>
    <x v="4"/>
    <s v="Ministério dos Transportes"/>
  </r>
  <r>
    <x v="36"/>
    <x v="2"/>
    <x v="4"/>
    <x v="3"/>
    <x v="6"/>
    <x v="6"/>
    <x v="4"/>
    <x v="1"/>
    <x v="6"/>
    <x v="1"/>
    <x v="0"/>
    <s v="Média"/>
    <x v="2"/>
    <s v="ICMBio"/>
  </r>
  <r>
    <x v="37"/>
    <x v="2"/>
    <x v="1"/>
    <x v="2"/>
    <x v="9"/>
    <x v="1"/>
    <x v="1"/>
    <x v="4"/>
    <x v="21"/>
    <x v="1"/>
    <x v="0"/>
    <s v="Baixa"/>
    <x v="4"/>
    <s v="Prefeitura"/>
  </r>
  <r>
    <x v="36"/>
    <x v="2"/>
    <x v="4"/>
    <x v="0"/>
    <x v="8"/>
    <x v="4"/>
    <x v="8"/>
    <x v="0"/>
    <x v="19"/>
    <x v="0"/>
    <x v="0"/>
    <s v="Média"/>
    <x v="5"/>
    <s v="Órgão Estadual"/>
  </r>
  <r>
    <x v="38"/>
    <x v="2"/>
    <x v="4"/>
    <x v="4"/>
    <x v="4"/>
    <x v="6"/>
    <x v="0"/>
    <x v="3"/>
    <x v="24"/>
    <x v="1"/>
    <x v="0"/>
    <s v="Média"/>
    <x v="2"/>
    <s v="ICMBio"/>
  </r>
  <r>
    <x v="39"/>
    <x v="2"/>
    <x v="4"/>
    <x v="5"/>
    <x v="1"/>
    <x v="3"/>
    <x v="6"/>
    <x v="0"/>
    <x v="0"/>
    <x v="0"/>
    <x v="0"/>
    <s v="Baixa"/>
    <x v="5"/>
    <s v="MDA"/>
  </r>
  <r>
    <x v="31"/>
    <x v="2"/>
    <x v="1"/>
    <x v="1"/>
    <x v="2"/>
    <x v="6"/>
    <x v="5"/>
    <x v="0"/>
    <x v="10"/>
    <x v="1"/>
    <x v="0"/>
    <s v="Baixa"/>
    <x v="5"/>
    <s v="Prefeitura"/>
  </r>
  <r>
    <x v="40"/>
    <x v="2"/>
    <x v="4"/>
    <x v="3"/>
    <x v="0"/>
    <x v="6"/>
    <x v="3"/>
    <x v="0"/>
    <x v="17"/>
    <x v="1"/>
    <x v="1"/>
    <s v="Média"/>
    <x v="5"/>
    <s v="MDA"/>
  </r>
  <r>
    <x v="41"/>
    <x v="2"/>
    <x v="1"/>
    <x v="1"/>
    <x v="7"/>
    <x v="6"/>
    <x v="12"/>
    <x v="1"/>
    <x v="25"/>
    <x v="1"/>
    <x v="0"/>
    <s v="Média"/>
    <x v="2"/>
    <s v="ANA"/>
  </r>
  <r>
    <x v="35"/>
    <x v="2"/>
    <x v="2"/>
    <x v="3"/>
    <x v="9"/>
    <x v="1"/>
    <x v="2"/>
    <x v="2"/>
    <x v="11"/>
    <x v="1"/>
    <x v="0"/>
    <s v="Baixa"/>
    <x v="2"/>
    <s v="IBAMA"/>
  </r>
  <r>
    <x v="42"/>
    <x v="2"/>
    <x v="2"/>
    <x v="1"/>
    <x v="7"/>
    <x v="4"/>
    <x v="0"/>
    <x v="1"/>
    <x v="2"/>
    <x v="1"/>
    <x v="0"/>
    <s v="Alta"/>
    <x v="2"/>
    <s v="ANA"/>
  </r>
  <r>
    <x v="31"/>
    <x v="2"/>
    <x v="4"/>
    <x v="5"/>
    <x v="9"/>
    <x v="2"/>
    <x v="3"/>
    <x v="0"/>
    <x v="24"/>
    <x v="0"/>
    <x v="0"/>
    <s v="Média"/>
    <x v="1"/>
    <s v="MDA"/>
  </r>
  <r>
    <x v="43"/>
    <x v="2"/>
    <x v="1"/>
    <x v="3"/>
    <x v="3"/>
    <x v="5"/>
    <x v="12"/>
    <x v="0"/>
    <x v="10"/>
    <x v="1"/>
    <x v="0"/>
    <s v="Baixa"/>
    <x v="1"/>
    <s v="Órgão Estadual"/>
  </r>
  <r>
    <x v="44"/>
    <x v="3"/>
    <x v="3"/>
    <x v="4"/>
    <x v="4"/>
    <x v="6"/>
    <x v="0"/>
    <x v="0"/>
    <x v="21"/>
    <x v="1"/>
    <x v="0"/>
    <s v="Média"/>
    <x v="0"/>
    <s v="CGU"/>
  </r>
  <r>
    <x v="45"/>
    <x v="3"/>
    <x v="5"/>
    <x v="2"/>
    <x v="4"/>
    <x v="4"/>
    <x v="11"/>
    <x v="4"/>
    <x v="11"/>
    <x v="1"/>
    <x v="0"/>
    <s v="Alta"/>
    <x v="1"/>
    <s v="ANA"/>
  </r>
  <r>
    <x v="46"/>
    <x v="3"/>
    <x v="1"/>
    <x v="0"/>
    <x v="1"/>
    <x v="2"/>
    <x v="0"/>
    <x v="2"/>
    <x v="2"/>
    <x v="0"/>
    <x v="0"/>
    <s v="Média"/>
    <x v="2"/>
    <s v="MMA - Ouvidoria"/>
  </r>
  <r>
    <x v="47"/>
    <x v="3"/>
    <x v="3"/>
    <x v="5"/>
    <x v="2"/>
    <x v="0"/>
    <x v="2"/>
    <x v="0"/>
    <x v="10"/>
    <x v="0"/>
    <x v="0"/>
    <s v="Baixa"/>
    <x v="0"/>
    <s v="MMA - Ouvidoria"/>
  </r>
  <r>
    <x v="48"/>
    <x v="3"/>
    <x v="4"/>
    <x v="5"/>
    <x v="2"/>
    <x v="5"/>
    <x v="9"/>
    <x v="2"/>
    <x v="23"/>
    <x v="0"/>
    <x v="0"/>
    <s v="Baixa"/>
    <x v="2"/>
    <s v="ICMBio"/>
  </r>
  <r>
    <x v="49"/>
    <x v="3"/>
    <x v="1"/>
    <x v="1"/>
    <x v="2"/>
    <x v="4"/>
    <x v="9"/>
    <x v="0"/>
    <x v="21"/>
    <x v="1"/>
    <x v="0"/>
    <s v="Média"/>
    <x v="4"/>
    <s v="Prefeitura"/>
  </r>
  <r>
    <x v="50"/>
    <x v="3"/>
    <x v="3"/>
    <x v="2"/>
    <x v="5"/>
    <x v="3"/>
    <x v="1"/>
    <x v="2"/>
    <x v="11"/>
    <x v="1"/>
    <x v="0"/>
    <s v="Baixa"/>
    <x v="2"/>
    <s v="Ministério dos Transportes"/>
  </r>
  <r>
    <x v="51"/>
    <x v="3"/>
    <x v="4"/>
    <x v="2"/>
    <x v="6"/>
    <x v="1"/>
    <x v="2"/>
    <x v="1"/>
    <x v="2"/>
    <x v="1"/>
    <x v="0"/>
    <s v="Baixa"/>
    <x v="2"/>
    <s v="MDA"/>
  </r>
  <r>
    <x v="52"/>
    <x v="3"/>
    <x v="4"/>
    <x v="0"/>
    <x v="8"/>
    <x v="1"/>
    <x v="8"/>
    <x v="0"/>
    <x v="23"/>
    <x v="0"/>
    <x v="0"/>
    <s v="Média"/>
    <x v="1"/>
    <s v="Órgão Estadual"/>
  </r>
  <r>
    <x v="53"/>
    <x v="3"/>
    <x v="1"/>
    <x v="3"/>
    <x v="2"/>
    <x v="3"/>
    <x v="12"/>
    <x v="0"/>
    <x v="11"/>
    <x v="1"/>
    <x v="0"/>
    <s v="Baixa"/>
    <x v="5"/>
    <s v="ICMBio"/>
  </r>
  <r>
    <x v="44"/>
    <x v="3"/>
    <x v="1"/>
    <x v="3"/>
    <x v="9"/>
    <x v="3"/>
    <x v="4"/>
    <x v="4"/>
    <x v="16"/>
    <x v="1"/>
    <x v="0"/>
    <s v="Média"/>
    <x v="0"/>
    <s v="MMA - Ouvidoria"/>
  </r>
  <r>
    <x v="49"/>
    <x v="3"/>
    <x v="3"/>
    <x v="2"/>
    <x v="8"/>
    <x v="4"/>
    <x v="8"/>
    <x v="1"/>
    <x v="13"/>
    <x v="1"/>
    <x v="0"/>
    <s v="Média"/>
    <x v="2"/>
    <s v="Prefeitura"/>
  </r>
  <r>
    <x v="54"/>
    <x v="3"/>
    <x v="3"/>
    <x v="4"/>
    <x v="7"/>
    <x v="0"/>
    <x v="11"/>
    <x v="0"/>
    <x v="24"/>
    <x v="1"/>
    <x v="0"/>
    <s v="Baixa"/>
    <x v="5"/>
    <s v="ICMBio"/>
  </r>
  <r>
    <x v="55"/>
    <x v="3"/>
    <x v="1"/>
    <x v="4"/>
    <x v="2"/>
    <x v="4"/>
    <x v="3"/>
    <x v="0"/>
    <x v="6"/>
    <x v="1"/>
    <x v="0"/>
    <s v="Média"/>
    <x v="5"/>
    <s v="ICMBio"/>
  </r>
  <r>
    <x v="56"/>
    <x v="3"/>
    <x v="1"/>
    <x v="2"/>
    <x v="8"/>
    <x v="7"/>
    <x v="0"/>
    <x v="1"/>
    <x v="1"/>
    <x v="1"/>
    <x v="0"/>
    <s v="Média"/>
    <x v="2"/>
    <s v="Prefeitura"/>
  </r>
  <r>
    <x v="55"/>
    <x v="3"/>
    <x v="1"/>
    <x v="5"/>
    <x v="4"/>
    <x v="1"/>
    <x v="0"/>
    <x v="2"/>
    <x v="14"/>
    <x v="0"/>
    <x v="0"/>
    <s v="Baixa"/>
    <x v="2"/>
    <s v="Prefeitura"/>
  </r>
  <r>
    <x v="50"/>
    <x v="3"/>
    <x v="4"/>
    <x v="1"/>
    <x v="4"/>
    <x v="3"/>
    <x v="4"/>
    <x v="0"/>
    <x v="2"/>
    <x v="1"/>
    <x v="0"/>
    <s v="Baixa"/>
    <x v="5"/>
    <s v="ANA"/>
  </r>
  <r>
    <x v="57"/>
    <x v="3"/>
    <x v="1"/>
    <x v="3"/>
    <x v="8"/>
    <x v="0"/>
    <x v="10"/>
    <x v="0"/>
    <x v="14"/>
    <x v="1"/>
    <x v="0"/>
    <s v="Média"/>
    <x v="1"/>
    <s v="Ministério dos Transportes"/>
  </r>
  <r>
    <x v="46"/>
    <x v="3"/>
    <x v="3"/>
    <x v="4"/>
    <x v="11"/>
    <x v="0"/>
    <x v="8"/>
    <x v="2"/>
    <x v="1"/>
    <x v="1"/>
    <x v="0"/>
    <s v="Baixa"/>
    <x v="2"/>
    <s v="IBAMA"/>
  </r>
  <r>
    <x v="50"/>
    <x v="3"/>
    <x v="3"/>
    <x v="0"/>
    <x v="3"/>
    <x v="1"/>
    <x v="4"/>
    <x v="0"/>
    <x v="12"/>
    <x v="0"/>
    <x v="0"/>
    <s v="Média"/>
    <x v="0"/>
    <s v="MMA - Ouvidoria"/>
  </r>
  <r>
    <x v="58"/>
    <x v="4"/>
    <x v="1"/>
    <x v="4"/>
    <x v="5"/>
    <x v="4"/>
    <x v="0"/>
    <x v="4"/>
    <x v="20"/>
    <x v="1"/>
    <x v="0"/>
    <s v="Alta"/>
    <x v="3"/>
    <s v="ICMBio"/>
  </r>
  <r>
    <x v="59"/>
    <x v="4"/>
    <x v="5"/>
    <x v="5"/>
    <x v="2"/>
    <x v="1"/>
    <x v="10"/>
    <x v="0"/>
    <x v="10"/>
    <x v="0"/>
    <x v="0"/>
    <s v="Baixa"/>
    <x v="1"/>
    <s v="Prefeitura"/>
  </r>
  <r>
    <x v="60"/>
    <x v="4"/>
    <x v="5"/>
    <x v="4"/>
    <x v="2"/>
    <x v="6"/>
    <x v="0"/>
    <x v="0"/>
    <x v="14"/>
    <x v="1"/>
    <x v="0"/>
    <s v="Alta"/>
    <x v="5"/>
    <s v="MDA"/>
  </r>
  <r>
    <x v="61"/>
    <x v="4"/>
    <x v="1"/>
    <x v="1"/>
    <x v="2"/>
    <x v="1"/>
    <x v="0"/>
    <x v="0"/>
    <x v="6"/>
    <x v="1"/>
    <x v="0"/>
    <s v="Média"/>
    <x v="3"/>
    <s v="Ministério dos Transportes"/>
  </r>
  <r>
    <x v="62"/>
    <x v="4"/>
    <x v="1"/>
    <x v="1"/>
    <x v="7"/>
    <x v="3"/>
    <x v="9"/>
    <x v="1"/>
    <x v="24"/>
    <x v="1"/>
    <x v="0"/>
    <s v="Baixa"/>
    <x v="2"/>
    <s v="MMA - Ouvidoria"/>
  </r>
  <r>
    <x v="63"/>
    <x v="4"/>
    <x v="3"/>
    <x v="3"/>
    <x v="3"/>
    <x v="7"/>
    <x v="8"/>
    <x v="0"/>
    <x v="23"/>
    <x v="1"/>
    <x v="0"/>
    <s v="Média"/>
    <x v="5"/>
    <s v="Prefeitura"/>
  </r>
  <r>
    <x v="64"/>
    <x v="4"/>
    <x v="2"/>
    <x v="5"/>
    <x v="8"/>
    <x v="0"/>
    <x v="4"/>
    <x v="3"/>
    <x v="16"/>
    <x v="0"/>
    <x v="0"/>
    <s v="Baixa"/>
    <x v="2"/>
    <s v="MAPA"/>
  </r>
  <r>
    <x v="62"/>
    <x v="4"/>
    <x v="0"/>
    <x v="1"/>
    <x v="2"/>
    <x v="4"/>
    <x v="7"/>
    <x v="0"/>
    <x v="21"/>
    <x v="1"/>
    <x v="0"/>
    <s v="Baixa"/>
    <x v="4"/>
    <s v="Prefeitura"/>
  </r>
  <r>
    <x v="65"/>
    <x v="4"/>
    <x v="4"/>
    <x v="5"/>
    <x v="5"/>
    <x v="6"/>
    <x v="0"/>
    <x v="0"/>
    <x v="14"/>
    <x v="0"/>
    <x v="0"/>
    <s v="Média"/>
    <x v="4"/>
    <s v="Órgão Estadual"/>
  </r>
  <r>
    <x v="66"/>
    <x v="4"/>
    <x v="3"/>
    <x v="1"/>
    <x v="9"/>
    <x v="1"/>
    <x v="12"/>
    <x v="0"/>
    <x v="26"/>
    <x v="1"/>
    <x v="1"/>
    <s v="Alta"/>
    <x v="4"/>
    <s v="Órgão Estadual"/>
  </r>
  <r>
    <x v="67"/>
    <x v="4"/>
    <x v="5"/>
    <x v="4"/>
    <x v="5"/>
    <x v="2"/>
    <x v="8"/>
    <x v="1"/>
    <x v="2"/>
    <x v="1"/>
    <x v="0"/>
    <s v="Baixa"/>
    <x v="2"/>
    <s v="CGU"/>
  </r>
  <r>
    <x v="68"/>
    <x v="4"/>
    <x v="2"/>
    <x v="3"/>
    <x v="4"/>
    <x v="1"/>
    <x v="8"/>
    <x v="0"/>
    <x v="10"/>
    <x v="1"/>
    <x v="0"/>
    <s v="Baixa"/>
    <x v="1"/>
    <s v="Ministério dos Transportes"/>
  </r>
  <r>
    <x v="69"/>
    <x v="4"/>
    <x v="5"/>
    <x v="1"/>
    <x v="7"/>
    <x v="0"/>
    <x v="0"/>
    <x v="0"/>
    <x v="0"/>
    <x v="1"/>
    <x v="0"/>
    <s v="Baixa"/>
    <x v="3"/>
    <s v="CGU"/>
  </r>
  <r>
    <x v="63"/>
    <x v="4"/>
    <x v="1"/>
    <x v="0"/>
    <x v="2"/>
    <x v="0"/>
    <x v="4"/>
    <x v="0"/>
    <x v="13"/>
    <x v="0"/>
    <x v="0"/>
    <s v="Baixa"/>
    <x v="1"/>
    <s v="Órgão Estadual"/>
  </r>
  <r>
    <x v="63"/>
    <x v="4"/>
    <x v="1"/>
    <x v="3"/>
    <x v="5"/>
    <x v="6"/>
    <x v="0"/>
    <x v="1"/>
    <x v="12"/>
    <x v="1"/>
    <x v="0"/>
    <s v="Média"/>
    <x v="2"/>
    <s v="Prefeitura"/>
  </r>
  <r>
    <x v="70"/>
    <x v="5"/>
    <x v="1"/>
    <x v="4"/>
    <x v="11"/>
    <x v="0"/>
    <x v="5"/>
    <x v="4"/>
    <x v="16"/>
    <x v="1"/>
    <x v="0"/>
    <s v="Baixa"/>
    <x v="1"/>
    <s v="Ministério dos Transportes"/>
  </r>
  <r>
    <x v="71"/>
    <x v="5"/>
    <x v="1"/>
    <x v="1"/>
    <x v="10"/>
    <x v="1"/>
    <x v="0"/>
    <x v="0"/>
    <x v="3"/>
    <x v="1"/>
    <x v="0"/>
    <s v="Média"/>
    <x v="3"/>
    <s v="ICMBio"/>
  </r>
  <r>
    <x v="72"/>
    <x v="5"/>
    <x v="5"/>
    <x v="5"/>
    <x v="2"/>
    <x v="1"/>
    <x v="4"/>
    <x v="4"/>
    <x v="2"/>
    <x v="0"/>
    <x v="0"/>
    <s v="Média"/>
    <x v="5"/>
    <s v="MMA - Ouvidoria"/>
  </r>
  <r>
    <x v="73"/>
    <x v="5"/>
    <x v="4"/>
    <x v="4"/>
    <x v="6"/>
    <x v="4"/>
    <x v="3"/>
    <x v="1"/>
    <x v="23"/>
    <x v="1"/>
    <x v="0"/>
    <s v="Média"/>
    <x v="2"/>
    <s v="CGU"/>
  </r>
  <r>
    <x v="74"/>
    <x v="5"/>
    <x v="2"/>
    <x v="0"/>
    <x v="8"/>
    <x v="7"/>
    <x v="0"/>
    <x v="1"/>
    <x v="25"/>
    <x v="0"/>
    <x v="0"/>
    <s v="Baixa"/>
    <x v="2"/>
    <s v="MAPA"/>
  </r>
  <r>
    <x v="75"/>
    <x v="5"/>
    <x v="3"/>
    <x v="5"/>
    <x v="1"/>
    <x v="5"/>
    <x v="0"/>
    <x v="0"/>
    <x v="1"/>
    <x v="0"/>
    <x v="0"/>
    <s v="Baixa"/>
    <x v="1"/>
    <s v="CGU"/>
  </r>
  <r>
    <x v="76"/>
    <x v="5"/>
    <x v="4"/>
    <x v="3"/>
    <x v="6"/>
    <x v="5"/>
    <x v="3"/>
    <x v="0"/>
    <x v="27"/>
    <x v="1"/>
    <x v="1"/>
    <s v="Média"/>
    <x v="1"/>
    <s v="MAPA"/>
  </r>
  <r>
    <x v="77"/>
    <x v="5"/>
    <x v="1"/>
    <x v="4"/>
    <x v="2"/>
    <x v="4"/>
    <x v="4"/>
    <x v="0"/>
    <x v="6"/>
    <x v="1"/>
    <x v="0"/>
    <s v="Baixa"/>
    <x v="1"/>
    <s v="Ministério dos Transportes"/>
  </r>
  <r>
    <x v="78"/>
    <x v="5"/>
    <x v="1"/>
    <x v="1"/>
    <x v="0"/>
    <x v="5"/>
    <x v="2"/>
    <x v="0"/>
    <x v="3"/>
    <x v="1"/>
    <x v="0"/>
    <s v="Média"/>
    <x v="0"/>
    <s v="Prefeitura"/>
  </r>
  <r>
    <x v="79"/>
    <x v="5"/>
    <x v="3"/>
    <x v="1"/>
    <x v="0"/>
    <x v="6"/>
    <x v="10"/>
    <x v="1"/>
    <x v="13"/>
    <x v="1"/>
    <x v="0"/>
    <s v="Média"/>
    <x v="2"/>
    <s v="MAPA"/>
  </r>
  <r>
    <x v="80"/>
    <x v="5"/>
    <x v="4"/>
    <x v="2"/>
    <x v="3"/>
    <x v="0"/>
    <x v="4"/>
    <x v="2"/>
    <x v="23"/>
    <x v="1"/>
    <x v="0"/>
    <s v="Baixa"/>
    <x v="2"/>
    <s v="Ministério dos Transportes"/>
  </r>
  <r>
    <x v="81"/>
    <x v="5"/>
    <x v="1"/>
    <x v="3"/>
    <x v="10"/>
    <x v="1"/>
    <x v="4"/>
    <x v="0"/>
    <x v="13"/>
    <x v="1"/>
    <x v="0"/>
    <s v="Baixa"/>
    <x v="5"/>
    <s v="Prefeitura"/>
  </r>
  <r>
    <x v="82"/>
    <x v="5"/>
    <x v="4"/>
    <x v="5"/>
    <x v="6"/>
    <x v="2"/>
    <x v="3"/>
    <x v="1"/>
    <x v="25"/>
    <x v="0"/>
    <x v="0"/>
    <s v="Média"/>
    <x v="2"/>
    <s v="Ministério dos Transportes"/>
  </r>
  <r>
    <x v="83"/>
    <x v="6"/>
    <x v="2"/>
    <x v="1"/>
    <x v="8"/>
    <x v="4"/>
    <x v="8"/>
    <x v="3"/>
    <x v="15"/>
    <x v="1"/>
    <x v="0"/>
    <s v="Baixa"/>
    <x v="2"/>
    <s v="ICMBio"/>
  </r>
  <r>
    <x v="84"/>
    <x v="6"/>
    <x v="5"/>
    <x v="5"/>
    <x v="3"/>
    <x v="2"/>
    <x v="0"/>
    <x v="0"/>
    <x v="0"/>
    <x v="0"/>
    <x v="0"/>
    <s v="Baixa"/>
    <x v="1"/>
    <s v="Órgão Estadual"/>
  </r>
  <r>
    <x v="85"/>
    <x v="6"/>
    <x v="1"/>
    <x v="3"/>
    <x v="4"/>
    <x v="3"/>
    <x v="0"/>
    <x v="0"/>
    <x v="2"/>
    <x v="1"/>
    <x v="0"/>
    <s v="Baixa"/>
    <x v="4"/>
    <s v="MDA"/>
  </r>
  <r>
    <x v="86"/>
    <x v="6"/>
    <x v="4"/>
    <x v="1"/>
    <x v="2"/>
    <x v="5"/>
    <x v="6"/>
    <x v="3"/>
    <x v="15"/>
    <x v="1"/>
    <x v="0"/>
    <s v="Média"/>
    <x v="2"/>
    <s v="MDA"/>
  </r>
  <r>
    <x v="87"/>
    <x v="6"/>
    <x v="4"/>
    <x v="1"/>
    <x v="5"/>
    <x v="4"/>
    <x v="8"/>
    <x v="0"/>
    <x v="24"/>
    <x v="1"/>
    <x v="0"/>
    <s v="Alta"/>
    <x v="5"/>
    <s v="Ministério dos Transportes"/>
  </r>
  <r>
    <x v="88"/>
    <x v="6"/>
    <x v="1"/>
    <x v="4"/>
    <x v="1"/>
    <x v="2"/>
    <x v="0"/>
    <x v="2"/>
    <x v="19"/>
    <x v="1"/>
    <x v="0"/>
    <s v="Alta"/>
    <x v="2"/>
    <s v="CGU"/>
  </r>
  <r>
    <x v="89"/>
    <x v="6"/>
    <x v="3"/>
    <x v="2"/>
    <x v="9"/>
    <x v="7"/>
    <x v="5"/>
    <x v="0"/>
    <x v="21"/>
    <x v="1"/>
    <x v="0"/>
    <s v="Baixa"/>
    <x v="5"/>
    <s v="ANA"/>
  </r>
  <r>
    <x v="87"/>
    <x v="6"/>
    <x v="0"/>
    <x v="3"/>
    <x v="4"/>
    <x v="6"/>
    <x v="4"/>
    <x v="0"/>
    <x v="0"/>
    <x v="1"/>
    <x v="0"/>
    <s v="Média"/>
    <x v="1"/>
    <s v="IBAMA"/>
  </r>
  <r>
    <x v="90"/>
    <x v="6"/>
    <x v="3"/>
    <x v="3"/>
    <x v="0"/>
    <x v="5"/>
    <x v="4"/>
    <x v="1"/>
    <x v="2"/>
    <x v="1"/>
    <x v="0"/>
    <s v="Alta"/>
    <x v="2"/>
    <s v="ANA"/>
  </r>
  <r>
    <x v="91"/>
    <x v="6"/>
    <x v="0"/>
    <x v="0"/>
    <x v="11"/>
    <x v="7"/>
    <x v="0"/>
    <x v="3"/>
    <x v="28"/>
    <x v="0"/>
    <x v="1"/>
    <s v="Baixa"/>
    <x v="2"/>
    <s v="MMA - Ouvidoria"/>
  </r>
  <r>
    <x v="92"/>
    <x v="6"/>
    <x v="4"/>
    <x v="5"/>
    <x v="10"/>
    <x v="5"/>
    <x v="5"/>
    <x v="2"/>
    <x v="13"/>
    <x v="0"/>
    <x v="0"/>
    <s v="Média"/>
    <x v="2"/>
    <s v="CGU"/>
  </r>
  <r>
    <x v="85"/>
    <x v="6"/>
    <x v="1"/>
    <x v="4"/>
    <x v="7"/>
    <x v="2"/>
    <x v="3"/>
    <x v="4"/>
    <x v="25"/>
    <x v="1"/>
    <x v="0"/>
    <s v="Alta"/>
    <x v="0"/>
    <s v="MAPA"/>
  </r>
  <r>
    <x v="93"/>
    <x v="6"/>
    <x v="1"/>
    <x v="3"/>
    <x v="4"/>
    <x v="7"/>
    <x v="4"/>
    <x v="0"/>
    <x v="21"/>
    <x v="1"/>
    <x v="0"/>
    <s v="Média"/>
    <x v="0"/>
    <s v="Ministério dos Transportes"/>
  </r>
  <r>
    <x v="94"/>
    <x v="6"/>
    <x v="4"/>
    <x v="3"/>
    <x v="5"/>
    <x v="3"/>
    <x v="9"/>
    <x v="1"/>
    <x v="1"/>
    <x v="1"/>
    <x v="0"/>
    <s v="Baixa"/>
    <x v="2"/>
    <s v="Órgão Estadual"/>
  </r>
  <r>
    <x v="88"/>
    <x v="6"/>
    <x v="1"/>
    <x v="4"/>
    <x v="3"/>
    <x v="4"/>
    <x v="1"/>
    <x v="1"/>
    <x v="2"/>
    <x v="1"/>
    <x v="0"/>
    <s v="Baixa"/>
    <x v="2"/>
    <s v="IBAMA"/>
  </r>
  <r>
    <x v="95"/>
    <x v="6"/>
    <x v="3"/>
    <x v="1"/>
    <x v="5"/>
    <x v="1"/>
    <x v="6"/>
    <x v="3"/>
    <x v="13"/>
    <x v="1"/>
    <x v="0"/>
    <s v="Baixa"/>
    <x v="2"/>
    <s v="IBAMA"/>
  </r>
  <r>
    <x v="96"/>
    <x v="6"/>
    <x v="2"/>
    <x v="1"/>
    <x v="2"/>
    <x v="3"/>
    <x v="4"/>
    <x v="0"/>
    <x v="0"/>
    <x v="1"/>
    <x v="0"/>
    <s v="Baixa"/>
    <x v="0"/>
    <s v="MDA"/>
  </r>
  <r>
    <x v="87"/>
    <x v="6"/>
    <x v="0"/>
    <x v="4"/>
    <x v="5"/>
    <x v="5"/>
    <x v="0"/>
    <x v="1"/>
    <x v="6"/>
    <x v="1"/>
    <x v="0"/>
    <s v="Baixa"/>
    <x v="2"/>
    <s v="IBAMA"/>
  </r>
  <r>
    <x v="83"/>
    <x v="6"/>
    <x v="1"/>
    <x v="0"/>
    <x v="6"/>
    <x v="0"/>
    <x v="11"/>
    <x v="0"/>
    <x v="25"/>
    <x v="0"/>
    <x v="0"/>
    <s v="Média"/>
    <x v="5"/>
    <s v="ICMBio"/>
  </r>
  <r>
    <x v="97"/>
    <x v="6"/>
    <x v="3"/>
    <x v="5"/>
    <x v="4"/>
    <x v="2"/>
    <x v="4"/>
    <x v="0"/>
    <x v="14"/>
    <x v="0"/>
    <x v="0"/>
    <s v="Média"/>
    <x v="5"/>
    <s v="CGU"/>
  </r>
  <r>
    <x v="98"/>
    <x v="6"/>
    <x v="1"/>
    <x v="0"/>
    <x v="6"/>
    <x v="6"/>
    <x v="6"/>
    <x v="0"/>
    <x v="16"/>
    <x v="0"/>
    <x v="0"/>
    <s v="Baixa"/>
    <x v="5"/>
    <s v="MAPA"/>
  </r>
  <r>
    <x v="90"/>
    <x v="6"/>
    <x v="4"/>
    <x v="1"/>
    <x v="3"/>
    <x v="4"/>
    <x v="0"/>
    <x v="0"/>
    <x v="25"/>
    <x v="1"/>
    <x v="0"/>
    <s v="Baixa"/>
    <x v="5"/>
    <s v="CGU"/>
  </r>
  <r>
    <x v="88"/>
    <x v="6"/>
    <x v="1"/>
    <x v="2"/>
    <x v="5"/>
    <x v="7"/>
    <x v="1"/>
    <x v="0"/>
    <x v="24"/>
    <x v="1"/>
    <x v="0"/>
    <s v="Alta"/>
    <x v="1"/>
    <s v="Órgão Estadual"/>
  </r>
  <r>
    <x v="99"/>
    <x v="6"/>
    <x v="2"/>
    <x v="1"/>
    <x v="9"/>
    <x v="0"/>
    <x v="2"/>
    <x v="0"/>
    <x v="19"/>
    <x v="1"/>
    <x v="0"/>
    <s v="Média"/>
    <x v="3"/>
    <s v="MMA - Ouvidoria"/>
  </r>
  <r>
    <x v="92"/>
    <x v="6"/>
    <x v="4"/>
    <x v="1"/>
    <x v="6"/>
    <x v="7"/>
    <x v="4"/>
    <x v="1"/>
    <x v="0"/>
    <x v="1"/>
    <x v="0"/>
    <s v="Média"/>
    <x v="2"/>
    <s v="CGU"/>
  </r>
  <r>
    <x v="90"/>
    <x v="6"/>
    <x v="1"/>
    <x v="0"/>
    <x v="8"/>
    <x v="6"/>
    <x v="4"/>
    <x v="3"/>
    <x v="21"/>
    <x v="0"/>
    <x v="0"/>
    <s v="Alta"/>
    <x v="2"/>
    <s v="Órgão Estadual"/>
  </r>
  <r>
    <x v="85"/>
    <x v="6"/>
    <x v="1"/>
    <x v="1"/>
    <x v="8"/>
    <x v="6"/>
    <x v="1"/>
    <x v="0"/>
    <x v="13"/>
    <x v="1"/>
    <x v="0"/>
    <s v="Baixa"/>
    <x v="0"/>
    <s v="Prefeitura"/>
  </r>
  <r>
    <x v="100"/>
    <x v="6"/>
    <x v="4"/>
    <x v="3"/>
    <x v="5"/>
    <x v="6"/>
    <x v="3"/>
    <x v="0"/>
    <x v="19"/>
    <x v="1"/>
    <x v="0"/>
    <s v="Média"/>
    <x v="1"/>
    <s v="MAPA"/>
  </r>
  <r>
    <x v="101"/>
    <x v="7"/>
    <x v="1"/>
    <x v="1"/>
    <x v="2"/>
    <x v="2"/>
    <x v="5"/>
    <x v="0"/>
    <x v="6"/>
    <x v="1"/>
    <x v="0"/>
    <s v="Baixa"/>
    <x v="0"/>
    <s v="MAPA"/>
  </r>
  <r>
    <x v="102"/>
    <x v="7"/>
    <x v="1"/>
    <x v="2"/>
    <x v="3"/>
    <x v="5"/>
    <x v="4"/>
    <x v="0"/>
    <x v="21"/>
    <x v="1"/>
    <x v="0"/>
    <s v="Média"/>
    <x v="0"/>
    <s v="MMA - Ouvidoria"/>
  </r>
  <r>
    <x v="103"/>
    <x v="7"/>
    <x v="4"/>
    <x v="5"/>
    <x v="5"/>
    <x v="1"/>
    <x v="0"/>
    <x v="0"/>
    <x v="16"/>
    <x v="0"/>
    <x v="0"/>
    <s v="Média"/>
    <x v="1"/>
    <s v="MMA - Ouvidoria"/>
  </r>
  <r>
    <x v="104"/>
    <x v="7"/>
    <x v="0"/>
    <x v="5"/>
    <x v="3"/>
    <x v="2"/>
    <x v="3"/>
    <x v="0"/>
    <x v="0"/>
    <x v="0"/>
    <x v="0"/>
    <s v="Baixa"/>
    <x v="1"/>
    <s v="ICMBio"/>
  </r>
  <r>
    <x v="105"/>
    <x v="7"/>
    <x v="4"/>
    <x v="2"/>
    <x v="1"/>
    <x v="3"/>
    <x v="2"/>
    <x v="1"/>
    <x v="0"/>
    <x v="1"/>
    <x v="0"/>
    <s v="Alta"/>
    <x v="2"/>
    <s v="IBAMA"/>
  </r>
  <r>
    <x v="106"/>
    <x v="7"/>
    <x v="0"/>
    <x v="4"/>
    <x v="7"/>
    <x v="5"/>
    <x v="3"/>
    <x v="0"/>
    <x v="10"/>
    <x v="1"/>
    <x v="0"/>
    <s v="Média"/>
    <x v="0"/>
    <s v="IBAMA"/>
  </r>
  <r>
    <x v="107"/>
    <x v="7"/>
    <x v="5"/>
    <x v="1"/>
    <x v="7"/>
    <x v="1"/>
    <x v="0"/>
    <x v="0"/>
    <x v="19"/>
    <x v="1"/>
    <x v="0"/>
    <s v="Média"/>
    <x v="5"/>
    <s v="Prefeitura"/>
  </r>
  <r>
    <x v="108"/>
    <x v="7"/>
    <x v="4"/>
    <x v="0"/>
    <x v="5"/>
    <x v="2"/>
    <x v="3"/>
    <x v="0"/>
    <x v="23"/>
    <x v="0"/>
    <x v="0"/>
    <s v="Média"/>
    <x v="4"/>
    <s v="MAPA"/>
  </r>
  <r>
    <x v="109"/>
    <x v="7"/>
    <x v="1"/>
    <x v="1"/>
    <x v="3"/>
    <x v="3"/>
    <x v="9"/>
    <x v="0"/>
    <x v="1"/>
    <x v="1"/>
    <x v="0"/>
    <s v="Média"/>
    <x v="0"/>
    <s v="ANA"/>
  </r>
  <r>
    <x v="110"/>
    <x v="7"/>
    <x v="4"/>
    <x v="4"/>
    <x v="0"/>
    <x v="0"/>
    <x v="3"/>
    <x v="2"/>
    <x v="11"/>
    <x v="1"/>
    <x v="0"/>
    <s v="Alta"/>
    <x v="2"/>
    <s v="MDA"/>
  </r>
  <r>
    <x v="111"/>
    <x v="7"/>
    <x v="3"/>
    <x v="1"/>
    <x v="1"/>
    <x v="5"/>
    <x v="4"/>
    <x v="0"/>
    <x v="10"/>
    <x v="1"/>
    <x v="0"/>
    <s v="Baixa"/>
    <x v="4"/>
    <s v="ANA"/>
  </r>
  <r>
    <x v="105"/>
    <x v="7"/>
    <x v="4"/>
    <x v="1"/>
    <x v="7"/>
    <x v="7"/>
    <x v="3"/>
    <x v="0"/>
    <x v="21"/>
    <x v="1"/>
    <x v="0"/>
    <s v="Baixa"/>
    <x v="1"/>
    <s v="CGU"/>
  </r>
  <r>
    <x v="112"/>
    <x v="7"/>
    <x v="1"/>
    <x v="1"/>
    <x v="3"/>
    <x v="5"/>
    <x v="1"/>
    <x v="3"/>
    <x v="29"/>
    <x v="1"/>
    <x v="1"/>
    <s v="Média"/>
    <x v="2"/>
    <s v="MMA - Ouvidoria"/>
  </r>
  <r>
    <x v="113"/>
    <x v="7"/>
    <x v="3"/>
    <x v="0"/>
    <x v="10"/>
    <x v="0"/>
    <x v="1"/>
    <x v="0"/>
    <x v="21"/>
    <x v="0"/>
    <x v="0"/>
    <s v="Alta"/>
    <x v="5"/>
    <s v="MDA"/>
  </r>
  <r>
    <x v="114"/>
    <x v="7"/>
    <x v="1"/>
    <x v="1"/>
    <x v="3"/>
    <x v="6"/>
    <x v="6"/>
    <x v="0"/>
    <x v="21"/>
    <x v="1"/>
    <x v="0"/>
    <s v="Baixa"/>
    <x v="3"/>
    <s v="ANA"/>
  </r>
  <r>
    <x v="115"/>
    <x v="7"/>
    <x v="3"/>
    <x v="1"/>
    <x v="6"/>
    <x v="7"/>
    <x v="4"/>
    <x v="0"/>
    <x v="19"/>
    <x v="1"/>
    <x v="0"/>
    <s v="Alta"/>
    <x v="1"/>
    <s v="Prefeitura"/>
  </r>
  <r>
    <x v="104"/>
    <x v="7"/>
    <x v="1"/>
    <x v="5"/>
    <x v="11"/>
    <x v="5"/>
    <x v="3"/>
    <x v="0"/>
    <x v="1"/>
    <x v="0"/>
    <x v="0"/>
    <s v="Média"/>
    <x v="4"/>
    <s v="IBAMA"/>
  </r>
  <r>
    <x v="115"/>
    <x v="7"/>
    <x v="1"/>
    <x v="3"/>
    <x v="2"/>
    <x v="5"/>
    <x v="9"/>
    <x v="3"/>
    <x v="17"/>
    <x v="1"/>
    <x v="1"/>
    <s v="Média"/>
    <x v="2"/>
    <s v="ICMBio"/>
  </r>
  <r>
    <x v="116"/>
    <x v="7"/>
    <x v="1"/>
    <x v="5"/>
    <x v="7"/>
    <x v="1"/>
    <x v="10"/>
    <x v="3"/>
    <x v="23"/>
    <x v="0"/>
    <x v="0"/>
    <s v="Baixa"/>
    <x v="2"/>
    <s v="ANA"/>
  </r>
  <r>
    <x v="117"/>
    <x v="7"/>
    <x v="3"/>
    <x v="1"/>
    <x v="8"/>
    <x v="0"/>
    <x v="2"/>
    <x v="0"/>
    <x v="13"/>
    <x v="1"/>
    <x v="0"/>
    <s v="Média"/>
    <x v="5"/>
    <s v="Prefeitura"/>
  </r>
  <r>
    <x v="118"/>
    <x v="7"/>
    <x v="2"/>
    <x v="1"/>
    <x v="10"/>
    <x v="4"/>
    <x v="2"/>
    <x v="0"/>
    <x v="2"/>
    <x v="1"/>
    <x v="0"/>
    <s v="Baixa"/>
    <x v="0"/>
    <s v="ICMBio"/>
  </r>
  <r>
    <x v="110"/>
    <x v="7"/>
    <x v="5"/>
    <x v="0"/>
    <x v="0"/>
    <x v="0"/>
    <x v="4"/>
    <x v="0"/>
    <x v="24"/>
    <x v="0"/>
    <x v="0"/>
    <s v="Alta"/>
    <x v="3"/>
    <s v="MAPA"/>
  </r>
  <r>
    <x v="116"/>
    <x v="7"/>
    <x v="4"/>
    <x v="4"/>
    <x v="3"/>
    <x v="0"/>
    <x v="3"/>
    <x v="1"/>
    <x v="6"/>
    <x v="1"/>
    <x v="0"/>
    <s v="Alta"/>
    <x v="2"/>
    <s v="Órgão Estadual"/>
  </r>
  <r>
    <x v="119"/>
    <x v="7"/>
    <x v="2"/>
    <x v="5"/>
    <x v="2"/>
    <x v="3"/>
    <x v="4"/>
    <x v="0"/>
    <x v="23"/>
    <x v="0"/>
    <x v="0"/>
    <s v="Média"/>
    <x v="3"/>
    <s v="Ministério dos Transportes"/>
  </r>
  <r>
    <x v="120"/>
    <x v="7"/>
    <x v="5"/>
    <x v="1"/>
    <x v="6"/>
    <x v="1"/>
    <x v="0"/>
    <x v="3"/>
    <x v="30"/>
    <x v="1"/>
    <x v="1"/>
    <s v="Média"/>
    <x v="2"/>
    <s v="IBAMA"/>
  </r>
  <r>
    <x v="121"/>
    <x v="7"/>
    <x v="1"/>
    <x v="1"/>
    <x v="6"/>
    <x v="2"/>
    <x v="3"/>
    <x v="0"/>
    <x v="11"/>
    <x v="1"/>
    <x v="0"/>
    <s v="Média"/>
    <x v="5"/>
    <s v="Prefeitura"/>
  </r>
  <r>
    <x v="122"/>
    <x v="8"/>
    <x v="2"/>
    <x v="2"/>
    <x v="8"/>
    <x v="0"/>
    <x v="0"/>
    <x v="0"/>
    <x v="14"/>
    <x v="1"/>
    <x v="0"/>
    <s v="Alta"/>
    <x v="4"/>
    <s v="ANA"/>
  </r>
  <r>
    <x v="123"/>
    <x v="8"/>
    <x v="2"/>
    <x v="3"/>
    <x v="0"/>
    <x v="4"/>
    <x v="10"/>
    <x v="3"/>
    <x v="13"/>
    <x v="1"/>
    <x v="0"/>
    <s v="Baixa"/>
    <x v="2"/>
    <s v="MAPA"/>
  </r>
  <r>
    <x v="124"/>
    <x v="8"/>
    <x v="3"/>
    <x v="3"/>
    <x v="4"/>
    <x v="7"/>
    <x v="5"/>
    <x v="0"/>
    <x v="14"/>
    <x v="1"/>
    <x v="0"/>
    <s v="Média"/>
    <x v="4"/>
    <s v="ICMBio"/>
  </r>
  <r>
    <x v="125"/>
    <x v="8"/>
    <x v="2"/>
    <x v="3"/>
    <x v="5"/>
    <x v="0"/>
    <x v="2"/>
    <x v="0"/>
    <x v="14"/>
    <x v="1"/>
    <x v="0"/>
    <s v="Média"/>
    <x v="5"/>
    <s v="MAPA"/>
  </r>
  <r>
    <x v="126"/>
    <x v="8"/>
    <x v="4"/>
    <x v="3"/>
    <x v="6"/>
    <x v="0"/>
    <x v="0"/>
    <x v="3"/>
    <x v="19"/>
    <x v="1"/>
    <x v="0"/>
    <s v="Alta"/>
    <x v="2"/>
    <s v="ICMBio"/>
  </r>
  <r>
    <x v="127"/>
    <x v="8"/>
    <x v="5"/>
    <x v="4"/>
    <x v="2"/>
    <x v="1"/>
    <x v="9"/>
    <x v="0"/>
    <x v="17"/>
    <x v="1"/>
    <x v="1"/>
    <s v="Alta"/>
    <x v="0"/>
    <s v="Órgão Estadual"/>
  </r>
  <r>
    <x v="122"/>
    <x v="8"/>
    <x v="3"/>
    <x v="0"/>
    <x v="6"/>
    <x v="4"/>
    <x v="4"/>
    <x v="0"/>
    <x v="0"/>
    <x v="0"/>
    <x v="0"/>
    <s v="Média"/>
    <x v="5"/>
    <s v="Órgão Estadual"/>
  </r>
  <r>
    <x v="128"/>
    <x v="8"/>
    <x v="1"/>
    <x v="5"/>
    <x v="4"/>
    <x v="3"/>
    <x v="0"/>
    <x v="0"/>
    <x v="23"/>
    <x v="0"/>
    <x v="0"/>
    <s v="Baixa"/>
    <x v="1"/>
    <s v="IBAMA"/>
  </r>
  <r>
    <x v="129"/>
    <x v="8"/>
    <x v="5"/>
    <x v="4"/>
    <x v="2"/>
    <x v="7"/>
    <x v="0"/>
    <x v="0"/>
    <x v="1"/>
    <x v="1"/>
    <x v="0"/>
    <s v="Baixa"/>
    <x v="5"/>
    <s v="ICMBio"/>
  </r>
  <r>
    <x v="130"/>
    <x v="8"/>
    <x v="3"/>
    <x v="4"/>
    <x v="9"/>
    <x v="1"/>
    <x v="0"/>
    <x v="4"/>
    <x v="2"/>
    <x v="1"/>
    <x v="0"/>
    <s v="Baixa"/>
    <x v="1"/>
    <s v="MMA - Ouvidoria"/>
  </r>
  <r>
    <x v="131"/>
    <x v="8"/>
    <x v="3"/>
    <x v="2"/>
    <x v="7"/>
    <x v="5"/>
    <x v="5"/>
    <x v="2"/>
    <x v="14"/>
    <x v="1"/>
    <x v="0"/>
    <s v="Baixa"/>
    <x v="2"/>
    <s v="Órgão Estadual"/>
  </r>
  <r>
    <x v="128"/>
    <x v="8"/>
    <x v="2"/>
    <x v="3"/>
    <x v="4"/>
    <x v="6"/>
    <x v="5"/>
    <x v="1"/>
    <x v="13"/>
    <x v="1"/>
    <x v="0"/>
    <s v="Média"/>
    <x v="2"/>
    <s v="MDA"/>
  </r>
  <r>
    <x v="132"/>
    <x v="8"/>
    <x v="3"/>
    <x v="3"/>
    <x v="3"/>
    <x v="0"/>
    <x v="3"/>
    <x v="4"/>
    <x v="17"/>
    <x v="1"/>
    <x v="1"/>
    <s v="Baixa"/>
    <x v="4"/>
    <s v="ANA"/>
  </r>
  <r>
    <x v="133"/>
    <x v="8"/>
    <x v="3"/>
    <x v="3"/>
    <x v="6"/>
    <x v="5"/>
    <x v="0"/>
    <x v="0"/>
    <x v="23"/>
    <x v="1"/>
    <x v="0"/>
    <s v="Alta"/>
    <x v="3"/>
    <s v="Órgão Estadual"/>
  </r>
  <r>
    <x v="128"/>
    <x v="8"/>
    <x v="3"/>
    <x v="1"/>
    <x v="5"/>
    <x v="4"/>
    <x v="4"/>
    <x v="0"/>
    <x v="2"/>
    <x v="1"/>
    <x v="0"/>
    <s v="Baixa"/>
    <x v="0"/>
    <s v="MMA - Ouvidoria"/>
  </r>
  <r>
    <x v="134"/>
    <x v="9"/>
    <x v="5"/>
    <x v="1"/>
    <x v="5"/>
    <x v="0"/>
    <x v="7"/>
    <x v="0"/>
    <x v="20"/>
    <x v="1"/>
    <x v="0"/>
    <s v="Baixa"/>
    <x v="0"/>
    <s v="Ministério dos Transportes"/>
  </r>
  <r>
    <x v="135"/>
    <x v="9"/>
    <x v="4"/>
    <x v="1"/>
    <x v="9"/>
    <x v="6"/>
    <x v="5"/>
    <x v="2"/>
    <x v="23"/>
    <x v="1"/>
    <x v="0"/>
    <s v="Baixa"/>
    <x v="2"/>
    <s v="IBAMA"/>
  </r>
  <r>
    <x v="136"/>
    <x v="9"/>
    <x v="4"/>
    <x v="5"/>
    <x v="7"/>
    <x v="5"/>
    <x v="9"/>
    <x v="1"/>
    <x v="14"/>
    <x v="0"/>
    <x v="0"/>
    <s v="Baixa"/>
    <x v="2"/>
    <s v="Prefeitura"/>
  </r>
  <r>
    <x v="137"/>
    <x v="9"/>
    <x v="3"/>
    <x v="0"/>
    <x v="3"/>
    <x v="6"/>
    <x v="12"/>
    <x v="2"/>
    <x v="25"/>
    <x v="0"/>
    <x v="0"/>
    <s v="Alta"/>
    <x v="2"/>
    <s v="MAPA"/>
  </r>
  <r>
    <x v="138"/>
    <x v="9"/>
    <x v="4"/>
    <x v="4"/>
    <x v="6"/>
    <x v="1"/>
    <x v="4"/>
    <x v="1"/>
    <x v="23"/>
    <x v="1"/>
    <x v="0"/>
    <s v="Média"/>
    <x v="2"/>
    <s v="CGU"/>
  </r>
  <r>
    <x v="139"/>
    <x v="9"/>
    <x v="1"/>
    <x v="4"/>
    <x v="6"/>
    <x v="5"/>
    <x v="10"/>
    <x v="2"/>
    <x v="24"/>
    <x v="1"/>
    <x v="0"/>
    <s v="Baixa"/>
    <x v="2"/>
    <s v="Prefeitura"/>
  </r>
  <r>
    <x v="140"/>
    <x v="9"/>
    <x v="2"/>
    <x v="3"/>
    <x v="0"/>
    <x v="2"/>
    <x v="5"/>
    <x v="0"/>
    <x v="23"/>
    <x v="1"/>
    <x v="0"/>
    <s v="Média"/>
    <x v="4"/>
    <s v="Ministério dos Transportes"/>
  </r>
  <r>
    <x v="141"/>
    <x v="9"/>
    <x v="1"/>
    <x v="1"/>
    <x v="1"/>
    <x v="7"/>
    <x v="9"/>
    <x v="2"/>
    <x v="25"/>
    <x v="1"/>
    <x v="0"/>
    <s v="Média"/>
    <x v="2"/>
    <s v="IBAMA"/>
  </r>
  <r>
    <x v="142"/>
    <x v="9"/>
    <x v="4"/>
    <x v="4"/>
    <x v="11"/>
    <x v="1"/>
    <x v="6"/>
    <x v="3"/>
    <x v="20"/>
    <x v="1"/>
    <x v="0"/>
    <s v="Média"/>
    <x v="2"/>
    <s v="ANA"/>
  </r>
  <r>
    <x v="140"/>
    <x v="9"/>
    <x v="4"/>
    <x v="4"/>
    <x v="3"/>
    <x v="7"/>
    <x v="0"/>
    <x v="0"/>
    <x v="19"/>
    <x v="1"/>
    <x v="0"/>
    <s v="Média"/>
    <x v="5"/>
    <s v="MMA - Ouvidoria"/>
  </r>
  <r>
    <x v="142"/>
    <x v="9"/>
    <x v="1"/>
    <x v="5"/>
    <x v="5"/>
    <x v="3"/>
    <x v="0"/>
    <x v="0"/>
    <x v="2"/>
    <x v="0"/>
    <x v="0"/>
    <s v="Baixa"/>
    <x v="4"/>
    <s v="MAPA"/>
  </r>
  <r>
    <x v="143"/>
    <x v="9"/>
    <x v="5"/>
    <x v="1"/>
    <x v="3"/>
    <x v="5"/>
    <x v="9"/>
    <x v="0"/>
    <x v="6"/>
    <x v="1"/>
    <x v="0"/>
    <s v="Baixa"/>
    <x v="0"/>
    <s v="MAPA"/>
  </r>
  <r>
    <x v="144"/>
    <x v="9"/>
    <x v="2"/>
    <x v="0"/>
    <x v="7"/>
    <x v="3"/>
    <x v="6"/>
    <x v="0"/>
    <x v="20"/>
    <x v="0"/>
    <x v="0"/>
    <s v="Alta"/>
    <x v="5"/>
    <s v="CGU"/>
  </r>
  <r>
    <x v="145"/>
    <x v="10"/>
    <x v="4"/>
    <x v="1"/>
    <x v="6"/>
    <x v="0"/>
    <x v="8"/>
    <x v="1"/>
    <x v="0"/>
    <x v="1"/>
    <x v="0"/>
    <s v="Baixa"/>
    <x v="2"/>
    <s v="MMA - Ouvidoria"/>
  </r>
  <r>
    <x v="146"/>
    <x v="10"/>
    <x v="4"/>
    <x v="1"/>
    <x v="6"/>
    <x v="5"/>
    <x v="4"/>
    <x v="3"/>
    <x v="15"/>
    <x v="1"/>
    <x v="0"/>
    <s v="Baixa"/>
    <x v="2"/>
    <s v="MMA - Ouvidoria"/>
  </r>
  <r>
    <x v="147"/>
    <x v="10"/>
    <x v="1"/>
    <x v="3"/>
    <x v="6"/>
    <x v="3"/>
    <x v="9"/>
    <x v="3"/>
    <x v="16"/>
    <x v="1"/>
    <x v="0"/>
    <s v="Baixa"/>
    <x v="2"/>
    <s v="Prefeitura"/>
  </r>
  <r>
    <x v="148"/>
    <x v="10"/>
    <x v="1"/>
    <x v="3"/>
    <x v="10"/>
    <x v="7"/>
    <x v="11"/>
    <x v="0"/>
    <x v="24"/>
    <x v="1"/>
    <x v="0"/>
    <s v="Média"/>
    <x v="0"/>
    <s v="IBAMA"/>
  </r>
  <r>
    <x v="149"/>
    <x v="10"/>
    <x v="1"/>
    <x v="4"/>
    <x v="9"/>
    <x v="2"/>
    <x v="4"/>
    <x v="2"/>
    <x v="0"/>
    <x v="1"/>
    <x v="0"/>
    <s v="Baixa"/>
    <x v="2"/>
    <s v="Prefeitura"/>
  </r>
  <r>
    <x v="150"/>
    <x v="10"/>
    <x v="3"/>
    <x v="0"/>
    <x v="0"/>
    <x v="7"/>
    <x v="4"/>
    <x v="0"/>
    <x v="3"/>
    <x v="0"/>
    <x v="0"/>
    <s v="Média"/>
    <x v="4"/>
    <s v="ANA"/>
  </r>
  <r>
    <x v="151"/>
    <x v="10"/>
    <x v="4"/>
    <x v="3"/>
    <x v="4"/>
    <x v="5"/>
    <x v="6"/>
    <x v="0"/>
    <x v="25"/>
    <x v="1"/>
    <x v="0"/>
    <s v="Alta"/>
    <x v="4"/>
    <s v="Órgão Estadual"/>
  </r>
  <r>
    <x v="152"/>
    <x v="10"/>
    <x v="5"/>
    <x v="3"/>
    <x v="6"/>
    <x v="7"/>
    <x v="4"/>
    <x v="0"/>
    <x v="24"/>
    <x v="1"/>
    <x v="0"/>
    <s v="Baixa"/>
    <x v="4"/>
    <s v="MDA"/>
  </r>
  <r>
    <x v="150"/>
    <x v="10"/>
    <x v="0"/>
    <x v="2"/>
    <x v="4"/>
    <x v="5"/>
    <x v="6"/>
    <x v="1"/>
    <x v="14"/>
    <x v="1"/>
    <x v="0"/>
    <s v="Alta"/>
    <x v="2"/>
    <s v="MDA"/>
  </r>
  <r>
    <x v="153"/>
    <x v="10"/>
    <x v="4"/>
    <x v="1"/>
    <x v="6"/>
    <x v="0"/>
    <x v="5"/>
    <x v="0"/>
    <x v="1"/>
    <x v="1"/>
    <x v="0"/>
    <s v="Baixa"/>
    <x v="5"/>
    <s v="Órgão Estadual"/>
  </r>
  <r>
    <x v="154"/>
    <x v="10"/>
    <x v="3"/>
    <x v="1"/>
    <x v="7"/>
    <x v="5"/>
    <x v="9"/>
    <x v="1"/>
    <x v="23"/>
    <x v="1"/>
    <x v="0"/>
    <s v="Alta"/>
    <x v="2"/>
    <s v="Órgão Estadual"/>
  </r>
  <r>
    <x v="146"/>
    <x v="10"/>
    <x v="1"/>
    <x v="1"/>
    <x v="5"/>
    <x v="0"/>
    <x v="10"/>
    <x v="3"/>
    <x v="13"/>
    <x v="1"/>
    <x v="0"/>
    <s v="Média"/>
    <x v="2"/>
    <s v="MDA"/>
  </r>
  <r>
    <x v="155"/>
    <x v="10"/>
    <x v="4"/>
    <x v="0"/>
    <x v="3"/>
    <x v="7"/>
    <x v="0"/>
    <x v="0"/>
    <x v="21"/>
    <x v="0"/>
    <x v="0"/>
    <s v="Baixa"/>
    <x v="3"/>
    <s v="ICMBio"/>
  </r>
  <r>
    <x v="151"/>
    <x v="10"/>
    <x v="3"/>
    <x v="0"/>
    <x v="8"/>
    <x v="3"/>
    <x v="3"/>
    <x v="2"/>
    <x v="21"/>
    <x v="0"/>
    <x v="0"/>
    <s v="Média"/>
    <x v="2"/>
    <s v="MAPA"/>
  </r>
  <r>
    <x v="156"/>
    <x v="10"/>
    <x v="1"/>
    <x v="3"/>
    <x v="3"/>
    <x v="4"/>
    <x v="6"/>
    <x v="3"/>
    <x v="26"/>
    <x v="1"/>
    <x v="1"/>
    <s v="Média"/>
    <x v="2"/>
    <s v="MMA - Ouvidoria"/>
  </r>
  <r>
    <x v="151"/>
    <x v="10"/>
    <x v="1"/>
    <x v="5"/>
    <x v="8"/>
    <x v="6"/>
    <x v="6"/>
    <x v="1"/>
    <x v="23"/>
    <x v="0"/>
    <x v="0"/>
    <s v="Média"/>
    <x v="2"/>
    <s v="Prefeitura"/>
  </r>
  <r>
    <x v="157"/>
    <x v="10"/>
    <x v="1"/>
    <x v="3"/>
    <x v="0"/>
    <x v="0"/>
    <x v="8"/>
    <x v="0"/>
    <x v="3"/>
    <x v="1"/>
    <x v="0"/>
    <s v="Baixa"/>
    <x v="3"/>
    <s v="Órgão Estadual"/>
  </r>
  <r>
    <x v="158"/>
    <x v="10"/>
    <x v="4"/>
    <x v="1"/>
    <x v="4"/>
    <x v="2"/>
    <x v="4"/>
    <x v="2"/>
    <x v="2"/>
    <x v="1"/>
    <x v="0"/>
    <s v="Baixa"/>
    <x v="2"/>
    <s v="CGU"/>
  </r>
  <r>
    <x v="159"/>
    <x v="10"/>
    <x v="1"/>
    <x v="1"/>
    <x v="7"/>
    <x v="1"/>
    <x v="0"/>
    <x v="0"/>
    <x v="16"/>
    <x v="1"/>
    <x v="0"/>
    <s v="Média"/>
    <x v="0"/>
    <s v="MAPA"/>
  </r>
  <r>
    <x v="160"/>
    <x v="10"/>
    <x v="3"/>
    <x v="5"/>
    <x v="3"/>
    <x v="2"/>
    <x v="8"/>
    <x v="0"/>
    <x v="6"/>
    <x v="0"/>
    <x v="0"/>
    <s v="Baixa"/>
    <x v="5"/>
    <s v="MMA - Ouvidoria"/>
  </r>
  <r>
    <x v="156"/>
    <x v="10"/>
    <x v="3"/>
    <x v="1"/>
    <x v="2"/>
    <x v="1"/>
    <x v="8"/>
    <x v="1"/>
    <x v="3"/>
    <x v="1"/>
    <x v="0"/>
    <s v="Média"/>
    <x v="2"/>
    <s v="ANA"/>
  </r>
  <r>
    <x v="161"/>
    <x v="10"/>
    <x v="1"/>
    <x v="4"/>
    <x v="4"/>
    <x v="1"/>
    <x v="3"/>
    <x v="2"/>
    <x v="21"/>
    <x v="1"/>
    <x v="0"/>
    <s v="Média"/>
    <x v="2"/>
    <s v="IBAMA"/>
  </r>
  <r>
    <x v="162"/>
    <x v="10"/>
    <x v="0"/>
    <x v="1"/>
    <x v="1"/>
    <x v="3"/>
    <x v="3"/>
    <x v="1"/>
    <x v="1"/>
    <x v="1"/>
    <x v="0"/>
    <s v="Média"/>
    <x v="2"/>
    <s v="Ministério dos Transportes"/>
  </r>
  <r>
    <x v="150"/>
    <x v="10"/>
    <x v="2"/>
    <x v="3"/>
    <x v="9"/>
    <x v="6"/>
    <x v="12"/>
    <x v="2"/>
    <x v="23"/>
    <x v="1"/>
    <x v="0"/>
    <s v="Baixa"/>
    <x v="2"/>
    <s v="ICMBio"/>
  </r>
  <r>
    <x v="158"/>
    <x v="10"/>
    <x v="2"/>
    <x v="3"/>
    <x v="2"/>
    <x v="7"/>
    <x v="11"/>
    <x v="4"/>
    <x v="1"/>
    <x v="1"/>
    <x v="0"/>
    <s v="Baixa"/>
    <x v="1"/>
    <s v="ANA"/>
  </r>
  <r>
    <x v="162"/>
    <x v="10"/>
    <x v="0"/>
    <x v="0"/>
    <x v="7"/>
    <x v="3"/>
    <x v="12"/>
    <x v="0"/>
    <x v="10"/>
    <x v="0"/>
    <x v="0"/>
    <s v="Alta"/>
    <x v="3"/>
    <s v="MMA - Ouvidoria"/>
  </r>
  <r>
    <x v="147"/>
    <x v="10"/>
    <x v="0"/>
    <x v="0"/>
    <x v="10"/>
    <x v="1"/>
    <x v="4"/>
    <x v="2"/>
    <x v="11"/>
    <x v="0"/>
    <x v="0"/>
    <s v="Baixa"/>
    <x v="2"/>
    <s v="Órgão Estadual"/>
  </r>
  <r>
    <x v="163"/>
    <x v="10"/>
    <x v="1"/>
    <x v="1"/>
    <x v="7"/>
    <x v="7"/>
    <x v="5"/>
    <x v="2"/>
    <x v="21"/>
    <x v="1"/>
    <x v="0"/>
    <s v="Alta"/>
    <x v="2"/>
    <s v="Ministério dos Transportes"/>
  </r>
  <r>
    <x v="164"/>
    <x v="10"/>
    <x v="2"/>
    <x v="1"/>
    <x v="4"/>
    <x v="1"/>
    <x v="8"/>
    <x v="1"/>
    <x v="12"/>
    <x v="1"/>
    <x v="0"/>
    <s v="Média"/>
    <x v="2"/>
    <s v="Prefeitura"/>
  </r>
  <r>
    <x v="165"/>
    <x v="10"/>
    <x v="1"/>
    <x v="4"/>
    <x v="2"/>
    <x v="5"/>
    <x v="9"/>
    <x v="0"/>
    <x v="3"/>
    <x v="1"/>
    <x v="0"/>
    <s v="Média"/>
    <x v="4"/>
    <s v="CGU"/>
  </r>
  <r>
    <x v="166"/>
    <x v="10"/>
    <x v="1"/>
    <x v="4"/>
    <x v="6"/>
    <x v="6"/>
    <x v="0"/>
    <x v="1"/>
    <x v="2"/>
    <x v="1"/>
    <x v="0"/>
    <s v="Média"/>
    <x v="2"/>
    <s v="MAPA"/>
  </r>
  <r>
    <x v="167"/>
    <x v="10"/>
    <x v="4"/>
    <x v="1"/>
    <x v="4"/>
    <x v="3"/>
    <x v="8"/>
    <x v="3"/>
    <x v="31"/>
    <x v="1"/>
    <x v="1"/>
    <s v="Baixa"/>
    <x v="2"/>
    <s v="Ministério dos Transportes"/>
  </r>
  <r>
    <x v="168"/>
    <x v="11"/>
    <x v="2"/>
    <x v="3"/>
    <x v="1"/>
    <x v="0"/>
    <x v="4"/>
    <x v="0"/>
    <x v="14"/>
    <x v="1"/>
    <x v="0"/>
    <s v="Média"/>
    <x v="5"/>
    <s v="Ministério dos Transportes"/>
  </r>
  <r>
    <x v="169"/>
    <x v="11"/>
    <x v="1"/>
    <x v="3"/>
    <x v="2"/>
    <x v="1"/>
    <x v="3"/>
    <x v="4"/>
    <x v="23"/>
    <x v="1"/>
    <x v="0"/>
    <s v="Média"/>
    <x v="5"/>
    <s v="MDA"/>
  </r>
  <r>
    <x v="170"/>
    <x v="11"/>
    <x v="4"/>
    <x v="5"/>
    <x v="7"/>
    <x v="6"/>
    <x v="3"/>
    <x v="4"/>
    <x v="16"/>
    <x v="0"/>
    <x v="0"/>
    <s v="Média"/>
    <x v="0"/>
    <s v="MDA"/>
  </r>
  <r>
    <x v="171"/>
    <x v="11"/>
    <x v="3"/>
    <x v="5"/>
    <x v="6"/>
    <x v="1"/>
    <x v="12"/>
    <x v="4"/>
    <x v="2"/>
    <x v="0"/>
    <x v="0"/>
    <s v="Média"/>
    <x v="0"/>
    <s v="IBAMA"/>
  </r>
  <r>
    <x v="172"/>
    <x v="11"/>
    <x v="4"/>
    <x v="3"/>
    <x v="4"/>
    <x v="3"/>
    <x v="0"/>
    <x v="0"/>
    <x v="10"/>
    <x v="1"/>
    <x v="0"/>
    <s v="Média"/>
    <x v="1"/>
    <s v="CGU"/>
  </r>
  <r>
    <x v="173"/>
    <x v="11"/>
    <x v="4"/>
    <x v="4"/>
    <x v="5"/>
    <x v="4"/>
    <x v="1"/>
    <x v="1"/>
    <x v="11"/>
    <x v="1"/>
    <x v="0"/>
    <s v="Média"/>
    <x v="2"/>
    <s v="Órgão Estadual"/>
  </r>
  <r>
    <x v="173"/>
    <x v="11"/>
    <x v="1"/>
    <x v="3"/>
    <x v="1"/>
    <x v="2"/>
    <x v="7"/>
    <x v="0"/>
    <x v="22"/>
    <x v="1"/>
    <x v="0"/>
    <s v="Baixa"/>
    <x v="0"/>
    <s v="Órgão Estadual"/>
  </r>
  <r>
    <x v="174"/>
    <x v="11"/>
    <x v="4"/>
    <x v="2"/>
    <x v="6"/>
    <x v="3"/>
    <x v="0"/>
    <x v="4"/>
    <x v="0"/>
    <x v="1"/>
    <x v="0"/>
    <s v="Baixa"/>
    <x v="0"/>
    <s v="Órgão Estadual"/>
  </r>
  <r>
    <x v="168"/>
    <x v="11"/>
    <x v="4"/>
    <x v="5"/>
    <x v="7"/>
    <x v="2"/>
    <x v="3"/>
    <x v="3"/>
    <x v="7"/>
    <x v="0"/>
    <x v="0"/>
    <s v="Baixa"/>
    <x v="2"/>
    <s v="Órgão Estadual"/>
  </r>
  <r>
    <x v="168"/>
    <x v="11"/>
    <x v="2"/>
    <x v="1"/>
    <x v="1"/>
    <x v="1"/>
    <x v="8"/>
    <x v="2"/>
    <x v="2"/>
    <x v="1"/>
    <x v="0"/>
    <s v="Média"/>
    <x v="2"/>
    <s v="CGU"/>
  </r>
  <r>
    <x v="175"/>
    <x v="11"/>
    <x v="5"/>
    <x v="0"/>
    <x v="1"/>
    <x v="4"/>
    <x v="4"/>
    <x v="1"/>
    <x v="25"/>
    <x v="0"/>
    <x v="0"/>
    <s v="Alta"/>
    <x v="2"/>
    <s v="CGU"/>
  </r>
  <r>
    <x v="176"/>
    <x v="11"/>
    <x v="0"/>
    <x v="4"/>
    <x v="3"/>
    <x v="4"/>
    <x v="3"/>
    <x v="3"/>
    <x v="10"/>
    <x v="1"/>
    <x v="0"/>
    <s v="Média"/>
    <x v="2"/>
    <s v="MAPA"/>
  </r>
  <r>
    <x v="177"/>
    <x v="11"/>
    <x v="1"/>
    <x v="3"/>
    <x v="8"/>
    <x v="7"/>
    <x v="1"/>
    <x v="2"/>
    <x v="24"/>
    <x v="1"/>
    <x v="0"/>
    <s v="Alta"/>
    <x v="2"/>
    <s v="ICMBio"/>
  </r>
  <r>
    <x v="172"/>
    <x v="11"/>
    <x v="3"/>
    <x v="5"/>
    <x v="2"/>
    <x v="7"/>
    <x v="4"/>
    <x v="1"/>
    <x v="2"/>
    <x v="0"/>
    <x v="0"/>
    <s v="Baixa"/>
    <x v="2"/>
    <s v="MAPA"/>
  </r>
  <r>
    <x v="170"/>
    <x v="11"/>
    <x v="2"/>
    <x v="0"/>
    <x v="7"/>
    <x v="7"/>
    <x v="7"/>
    <x v="1"/>
    <x v="10"/>
    <x v="0"/>
    <x v="0"/>
    <s v="Alta"/>
    <x v="2"/>
    <s v="MAPA"/>
  </r>
  <r>
    <x v="178"/>
    <x v="11"/>
    <x v="4"/>
    <x v="2"/>
    <x v="7"/>
    <x v="4"/>
    <x v="3"/>
    <x v="0"/>
    <x v="19"/>
    <x v="1"/>
    <x v="0"/>
    <s v="Baixa"/>
    <x v="5"/>
    <s v="IBAMA"/>
  </r>
  <r>
    <x v="179"/>
    <x v="11"/>
    <x v="3"/>
    <x v="0"/>
    <x v="0"/>
    <x v="6"/>
    <x v="4"/>
    <x v="3"/>
    <x v="20"/>
    <x v="0"/>
    <x v="0"/>
    <s v="Baixa"/>
    <x v="2"/>
    <s v="ANA"/>
  </r>
  <r>
    <x v="171"/>
    <x v="11"/>
    <x v="1"/>
    <x v="1"/>
    <x v="6"/>
    <x v="2"/>
    <x v="0"/>
    <x v="0"/>
    <x v="6"/>
    <x v="1"/>
    <x v="0"/>
    <s v="Baixa"/>
    <x v="4"/>
    <s v="MAPA"/>
  </r>
  <r>
    <x v="180"/>
    <x v="11"/>
    <x v="4"/>
    <x v="3"/>
    <x v="6"/>
    <x v="0"/>
    <x v="7"/>
    <x v="2"/>
    <x v="32"/>
    <x v="1"/>
    <x v="1"/>
    <s v="Média"/>
    <x v="2"/>
    <s v="Ministério dos Transporte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884AEF2-C295-4A8D-9171-92DDA92F1796}" name="Tabela dinâmica17" cacheId="3" applyNumberFormats="0" applyBorderFormats="0" applyFontFormats="0" applyPatternFormats="0" applyAlignmentFormats="0" applyWidthHeightFormats="1" dataCaption="Valores" updatedVersion="8" minRefreshableVersion="3" useAutoFormatting="1" rowGrandTotals="0" colGrandTotals="0" itemPrintTitles="1" createdVersion="8" indent="0" outline="1" outlineData="1" multipleFieldFilters="0" chartFormat="18">
  <location ref="A83:B88" firstHeaderRow="1" firstDataRow="1" firstDataCol="1"/>
  <pivotFields count="16">
    <pivotField dataField="1" numFmtId="14" showAll="0">
      <items count="182">
        <item x="1"/>
        <item x="3"/>
        <item x="5"/>
        <item x="2"/>
        <item x="11"/>
        <item x="10"/>
        <item x="6"/>
        <item x="8"/>
        <item x="0"/>
        <item x="4"/>
        <item x="7"/>
        <item x="9"/>
        <item x="22"/>
        <item x="21"/>
        <item x="15"/>
        <item x="14"/>
        <item x="19"/>
        <item x="20"/>
        <item x="25"/>
        <item x="16"/>
        <item x="23"/>
        <item x="12"/>
        <item x="24"/>
        <item x="13"/>
        <item x="18"/>
        <item x="17"/>
        <item x="31"/>
        <item x="29"/>
        <item x="32"/>
        <item x="38"/>
        <item x="27"/>
        <item x="34"/>
        <item x="26"/>
        <item x="33"/>
        <item x="41"/>
        <item x="37"/>
        <item x="36"/>
        <item x="43"/>
        <item x="42"/>
        <item x="35"/>
        <item x="28"/>
        <item x="40"/>
        <item x="39"/>
        <item x="30"/>
        <item x="46"/>
        <item x="52"/>
        <item x="54"/>
        <item x="51"/>
        <item x="56"/>
        <item x="47"/>
        <item x="50"/>
        <item x="48"/>
        <item x="57"/>
        <item x="49"/>
        <item x="55"/>
        <item x="45"/>
        <item x="53"/>
        <item x="44"/>
        <item x="65"/>
        <item x="63"/>
        <item x="64"/>
        <item x="58"/>
        <item x="62"/>
        <item x="59"/>
        <item x="68"/>
        <item x="67"/>
        <item x="66"/>
        <item x="60"/>
        <item x="69"/>
        <item x="61"/>
        <item x="80"/>
        <item x="76"/>
        <item x="78"/>
        <item x="74"/>
        <item x="81"/>
        <item x="72"/>
        <item x="73"/>
        <item x="75"/>
        <item x="70"/>
        <item x="71"/>
        <item x="82"/>
        <item x="77"/>
        <item x="79"/>
        <item x="89"/>
        <item x="83"/>
        <item x="97"/>
        <item x="87"/>
        <item x="92"/>
        <item x="96"/>
        <item x="99"/>
        <item x="90"/>
        <item x="91"/>
        <item x="100"/>
        <item x="88"/>
        <item x="93"/>
        <item x="98"/>
        <item x="84"/>
        <item x="95"/>
        <item x="85"/>
        <item x="94"/>
        <item x="86"/>
        <item x="106"/>
        <item x="108"/>
        <item x="109"/>
        <item x="103"/>
        <item x="107"/>
        <item x="117"/>
        <item x="121"/>
        <item x="110"/>
        <item x="118"/>
        <item x="105"/>
        <item x="115"/>
        <item x="114"/>
        <item x="119"/>
        <item x="111"/>
        <item x="101"/>
        <item x="112"/>
        <item x="113"/>
        <item x="104"/>
        <item x="120"/>
        <item x="116"/>
        <item x="102"/>
        <item x="131"/>
        <item x="122"/>
        <item x="130"/>
        <item x="127"/>
        <item x="123"/>
        <item x="124"/>
        <item x="125"/>
        <item x="132"/>
        <item x="129"/>
        <item x="133"/>
        <item x="128"/>
        <item x="126"/>
        <item x="144"/>
        <item x="138"/>
        <item x="136"/>
        <item x="141"/>
        <item x="140"/>
        <item x="135"/>
        <item x="143"/>
        <item x="139"/>
        <item x="142"/>
        <item x="137"/>
        <item x="134"/>
        <item x="151"/>
        <item x="157"/>
        <item x="148"/>
        <item x="165"/>
        <item x="156"/>
        <item x="149"/>
        <item x="160"/>
        <item x="158"/>
        <item x="161"/>
        <item x="164"/>
        <item x="150"/>
        <item x="155"/>
        <item x="153"/>
        <item x="167"/>
        <item x="159"/>
        <item x="146"/>
        <item x="166"/>
        <item x="145"/>
        <item x="147"/>
        <item x="152"/>
        <item x="163"/>
        <item x="154"/>
        <item x="162"/>
        <item x="168"/>
        <item x="174"/>
        <item x="178"/>
        <item x="177"/>
        <item x="171"/>
        <item x="179"/>
        <item x="180"/>
        <item x="175"/>
        <item x="169"/>
        <item x="170"/>
        <item x="172"/>
        <item x="176"/>
        <item x="173"/>
        <item t="default"/>
      </items>
    </pivotField>
    <pivotField showAll="0">
      <items count="13">
        <item x="0"/>
        <item x="1"/>
        <item x="2"/>
        <item x="3"/>
        <item x="4"/>
        <item x="5"/>
        <item x="6"/>
        <item x="7"/>
        <item x="8"/>
        <item x="9"/>
        <item x="10"/>
        <item x="11"/>
        <item t="default"/>
      </items>
    </pivotField>
    <pivotField showAll="0">
      <items count="7">
        <item x="3"/>
        <item x="1"/>
        <item x="5"/>
        <item x="2"/>
        <item x="0"/>
        <item x="4"/>
        <item t="default"/>
      </items>
    </pivotField>
    <pivotField showAll="0">
      <items count="7">
        <item x="0"/>
        <item x="5"/>
        <item x="4"/>
        <item x="3"/>
        <item x="1"/>
        <item x="2"/>
        <item t="default"/>
      </items>
    </pivotField>
    <pivotField showAll="0"/>
    <pivotField showAll="0">
      <items count="9">
        <item x="4"/>
        <item x="1"/>
        <item x="5"/>
        <item x="3"/>
        <item x="0"/>
        <item x="7"/>
        <item x="6"/>
        <item x="2"/>
        <item t="default"/>
      </items>
    </pivotField>
    <pivotField showAll="0">
      <items count="14">
        <item x="11"/>
        <item x="4"/>
        <item x="0"/>
        <item x="6"/>
        <item x="7"/>
        <item x="9"/>
        <item x="8"/>
        <item x="3"/>
        <item x="12"/>
        <item x="5"/>
        <item x="10"/>
        <item x="1"/>
        <item x="2"/>
        <item t="default"/>
      </items>
    </pivotField>
    <pivotField axis="axisRow" showAll="0">
      <items count="6">
        <item x="3"/>
        <item x="4"/>
        <item x="0"/>
        <item x="1"/>
        <item x="2"/>
        <item t="default"/>
      </items>
    </pivotField>
    <pivotField numFmtId="1" showAll="0"/>
    <pivotField numFmtId="1" showAll="0"/>
    <pivotField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7"/>
  </rowFields>
  <rowItems count="5">
    <i>
      <x/>
    </i>
    <i>
      <x v="1"/>
    </i>
    <i>
      <x v="2"/>
    </i>
    <i>
      <x v="3"/>
    </i>
    <i>
      <x v="4"/>
    </i>
  </rowItems>
  <colItems count="1">
    <i/>
  </colItems>
  <dataFields count="1">
    <dataField name="Contagem de  Manifestações" fld="0" subtotal="count" baseField="0" baseItem="0"/>
  </dataFields>
  <formats count="10">
    <format dxfId="474">
      <pivotArea type="all" dataOnly="0" outline="0" fieldPosition="0"/>
    </format>
    <format dxfId="473">
      <pivotArea outline="0" collapsedLevelsAreSubtotals="1" fieldPosition="0"/>
    </format>
    <format dxfId="472">
      <pivotArea field="7" type="button" dataOnly="0" labelOnly="1" outline="0" axis="axisRow" fieldPosition="0"/>
    </format>
    <format dxfId="471">
      <pivotArea dataOnly="0" labelOnly="1" fieldPosition="0">
        <references count="1">
          <reference field="7" count="4">
            <x v="1"/>
            <x v="2"/>
            <x v="3"/>
            <x v="4"/>
          </reference>
        </references>
      </pivotArea>
    </format>
    <format dxfId="470">
      <pivotArea dataOnly="0" labelOnly="1" outline="0" axis="axisValues" fieldPosition="0"/>
    </format>
    <format dxfId="421">
      <pivotArea type="all" dataOnly="0" outline="0" fieldPosition="0"/>
    </format>
    <format dxfId="420">
      <pivotArea outline="0" collapsedLevelsAreSubtotals="1" fieldPosition="0"/>
    </format>
    <format dxfId="419">
      <pivotArea field="7" type="button" dataOnly="0" labelOnly="1" outline="0" axis="axisRow" fieldPosition="0"/>
    </format>
    <format dxfId="418">
      <pivotArea dataOnly="0" labelOnly="1" fieldPosition="0">
        <references count="1">
          <reference field="7" count="4">
            <x v="1"/>
            <x v="2"/>
            <x v="3"/>
            <x v="4"/>
          </reference>
        </references>
      </pivotArea>
    </format>
    <format dxfId="417">
      <pivotArea dataOnly="0" labelOnly="1" outline="0" axis="axisValues" fieldPosition="0"/>
    </format>
  </formats>
  <chartFormats count="12">
    <chartFormat chart="13" format="12" series="1">
      <pivotArea type="data" outline="0" fieldPosition="0">
        <references count="1">
          <reference field="4294967294" count="1" selected="0">
            <x v="0"/>
          </reference>
        </references>
      </pivotArea>
    </chartFormat>
    <chartFormat chart="13" format="13">
      <pivotArea type="data" outline="0" fieldPosition="0">
        <references count="2">
          <reference field="4294967294" count="1" selected="0">
            <x v="0"/>
          </reference>
          <reference field="7" count="1" selected="0">
            <x v="0"/>
          </reference>
        </references>
      </pivotArea>
    </chartFormat>
    <chartFormat chart="13" format="14">
      <pivotArea type="data" outline="0" fieldPosition="0">
        <references count="2">
          <reference field="4294967294" count="1" selected="0">
            <x v="0"/>
          </reference>
          <reference field="7" count="1" selected="0">
            <x v="1"/>
          </reference>
        </references>
      </pivotArea>
    </chartFormat>
    <chartFormat chart="13" format="15">
      <pivotArea type="data" outline="0" fieldPosition="0">
        <references count="2">
          <reference field="4294967294" count="1" selected="0">
            <x v="0"/>
          </reference>
          <reference field="7" count="1" selected="0">
            <x v="2"/>
          </reference>
        </references>
      </pivotArea>
    </chartFormat>
    <chartFormat chart="13" format="16">
      <pivotArea type="data" outline="0" fieldPosition="0">
        <references count="2">
          <reference field="4294967294" count="1" selected="0">
            <x v="0"/>
          </reference>
          <reference field="7" count="1" selected="0">
            <x v="3"/>
          </reference>
        </references>
      </pivotArea>
    </chartFormat>
    <chartFormat chart="13" format="17">
      <pivotArea type="data" outline="0" fieldPosition="0">
        <references count="2">
          <reference field="4294967294" count="1" selected="0">
            <x v="0"/>
          </reference>
          <reference field="7" count="1" selected="0">
            <x v="4"/>
          </reference>
        </references>
      </pivotArea>
    </chartFormat>
    <chartFormat chart="9" format="6" series="1">
      <pivotArea type="data" outline="0" fieldPosition="0">
        <references count="1">
          <reference field="4294967294" count="1" selected="0">
            <x v="0"/>
          </reference>
        </references>
      </pivotArea>
    </chartFormat>
    <chartFormat chart="9" format="7">
      <pivotArea type="data" outline="0" fieldPosition="0">
        <references count="2">
          <reference field="4294967294" count="1" selected="0">
            <x v="0"/>
          </reference>
          <reference field="7" count="1" selected="0">
            <x v="0"/>
          </reference>
        </references>
      </pivotArea>
    </chartFormat>
    <chartFormat chart="9" format="8">
      <pivotArea type="data" outline="0" fieldPosition="0">
        <references count="2">
          <reference field="4294967294" count="1" selected="0">
            <x v="0"/>
          </reference>
          <reference field="7" count="1" selected="0">
            <x v="1"/>
          </reference>
        </references>
      </pivotArea>
    </chartFormat>
    <chartFormat chart="9" format="9">
      <pivotArea type="data" outline="0" fieldPosition="0">
        <references count="2">
          <reference field="4294967294" count="1" selected="0">
            <x v="0"/>
          </reference>
          <reference field="7" count="1" selected="0">
            <x v="2"/>
          </reference>
        </references>
      </pivotArea>
    </chartFormat>
    <chartFormat chart="9" format="10">
      <pivotArea type="data" outline="0" fieldPosition="0">
        <references count="2">
          <reference field="4294967294" count="1" selected="0">
            <x v="0"/>
          </reference>
          <reference field="7" count="1" selected="0">
            <x v="3"/>
          </reference>
        </references>
      </pivotArea>
    </chartFormat>
    <chartFormat chart="9" format="11">
      <pivotArea type="data" outline="0" fieldPosition="0">
        <references count="2">
          <reference field="4294967294" count="1" selected="0">
            <x v="0"/>
          </reference>
          <reference field="7"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522AEFF-C6D3-4EEA-9C03-2FE9A2759E03}" name="Tabela dinâmica20" cacheId="3"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20" rowHeaderCaption="Setor MMA">
  <location ref="A101:B110" firstHeaderRow="1" firstDataRow="1" firstDataCol="1"/>
  <pivotFields count="16">
    <pivotField dataField="1" numFmtId="14" showAll="0" avgSubtotal="1">
      <items count="182">
        <item x="1"/>
        <item x="3"/>
        <item x="5"/>
        <item x="2"/>
        <item x="11"/>
        <item x="10"/>
        <item x="6"/>
        <item x="8"/>
        <item x="0"/>
        <item x="4"/>
        <item x="7"/>
        <item x="9"/>
        <item x="22"/>
        <item x="21"/>
        <item x="15"/>
        <item x="14"/>
        <item x="19"/>
        <item x="20"/>
        <item x="25"/>
        <item x="16"/>
        <item x="23"/>
        <item x="12"/>
        <item x="24"/>
        <item x="13"/>
        <item x="18"/>
        <item x="17"/>
        <item x="31"/>
        <item x="29"/>
        <item x="32"/>
        <item x="38"/>
        <item x="27"/>
        <item x="34"/>
        <item x="26"/>
        <item x="33"/>
        <item x="41"/>
        <item x="37"/>
        <item x="36"/>
        <item x="43"/>
        <item x="42"/>
        <item x="35"/>
        <item x="28"/>
        <item x="40"/>
        <item x="39"/>
        <item x="30"/>
        <item x="46"/>
        <item x="52"/>
        <item x="54"/>
        <item x="51"/>
        <item x="56"/>
        <item x="47"/>
        <item x="50"/>
        <item x="48"/>
        <item x="57"/>
        <item x="49"/>
        <item x="55"/>
        <item x="45"/>
        <item x="53"/>
        <item x="44"/>
        <item x="65"/>
        <item x="63"/>
        <item x="64"/>
        <item x="58"/>
        <item x="62"/>
        <item x="59"/>
        <item x="68"/>
        <item x="67"/>
        <item x="66"/>
        <item x="60"/>
        <item x="69"/>
        <item x="61"/>
        <item x="80"/>
        <item x="76"/>
        <item x="78"/>
        <item x="74"/>
        <item x="81"/>
        <item x="72"/>
        <item x="73"/>
        <item x="75"/>
        <item x="70"/>
        <item x="71"/>
        <item x="82"/>
        <item x="77"/>
        <item x="79"/>
        <item x="89"/>
        <item x="83"/>
        <item x="97"/>
        <item x="87"/>
        <item x="92"/>
        <item x="96"/>
        <item x="99"/>
        <item x="90"/>
        <item x="91"/>
        <item x="100"/>
        <item x="88"/>
        <item x="93"/>
        <item x="98"/>
        <item x="84"/>
        <item x="95"/>
        <item x="85"/>
        <item x="94"/>
        <item x="86"/>
        <item x="106"/>
        <item x="108"/>
        <item x="109"/>
        <item x="103"/>
        <item x="107"/>
        <item x="117"/>
        <item x="121"/>
        <item x="110"/>
        <item x="118"/>
        <item x="105"/>
        <item x="115"/>
        <item x="114"/>
        <item x="119"/>
        <item x="111"/>
        <item x="101"/>
        <item x="112"/>
        <item x="113"/>
        <item x="104"/>
        <item x="120"/>
        <item x="116"/>
        <item x="102"/>
        <item x="131"/>
        <item x="122"/>
        <item x="130"/>
        <item x="127"/>
        <item x="123"/>
        <item x="124"/>
        <item x="125"/>
        <item x="132"/>
        <item x="129"/>
        <item x="133"/>
        <item x="128"/>
        <item x="126"/>
        <item x="144"/>
        <item x="138"/>
        <item x="136"/>
        <item x="141"/>
        <item x="140"/>
        <item x="135"/>
        <item x="143"/>
        <item x="139"/>
        <item x="142"/>
        <item x="137"/>
        <item x="134"/>
        <item x="151"/>
        <item x="157"/>
        <item x="148"/>
        <item x="165"/>
        <item x="156"/>
        <item x="149"/>
        <item x="160"/>
        <item x="158"/>
        <item x="161"/>
        <item x="164"/>
        <item x="150"/>
        <item x="155"/>
        <item x="153"/>
        <item x="167"/>
        <item x="159"/>
        <item x="146"/>
        <item x="166"/>
        <item x="145"/>
        <item x="147"/>
        <item x="152"/>
        <item x="163"/>
        <item x="154"/>
        <item x="162"/>
        <item x="168"/>
        <item x="174"/>
        <item x="178"/>
        <item x="177"/>
        <item x="171"/>
        <item x="179"/>
        <item x="180"/>
        <item x="175"/>
        <item x="169"/>
        <item x="170"/>
        <item x="172"/>
        <item x="176"/>
        <item x="173"/>
        <item t="avg"/>
      </items>
    </pivotField>
    <pivotField showAll="0">
      <items count="13">
        <item x="0"/>
        <item x="1"/>
        <item x="2"/>
        <item x="3"/>
        <item x="4"/>
        <item x="5"/>
        <item x="6"/>
        <item x="7"/>
        <item x="8"/>
        <item x="9"/>
        <item x="10"/>
        <item x="11"/>
        <item t="default"/>
      </items>
    </pivotField>
    <pivotField multipleItemSelectionAllowed="1" showAll="0" avgSubtotal="1">
      <items count="7">
        <item x="3"/>
        <item x="1"/>
        <item x="5"/>
        <item x="2"/>
        <item x="0"/>
        <item x="4"/>
        <item t="avg"/>
      </items>
    </pivotField>
    <pivotField multipleItemSelectionAllowed="1" showAll="0">
      <items count="7">
        <item x="0"/>
        <item x="5"/>
        <item x="4"/>
        <item x="3"/>
        <item x="1"/>
        <item x="2"/>
        <item t="default"/>
      </items>
    </pivotField>
    <pivotField showAll="0"/>
    <pivotField axis="axisRow" showAll="0">
      <items count="9">
        <item x="4"/>
        <item x="1"/>
        <item x="5"/>
        <item x="3"/>
        <item x="0"/>
        <item x="7"/>
        <item x="6"/>
        <item x="2"/>
        <item t="default"/>
      </items>
    </pivotField>
    <pivotField showAll="0">
      <items count="14">
        <item x="11"/>
        <item x="4"/>
        <item x="0"/>
        <item x="6"/>
        <item x="7"/>
        <item x="9"/>
        <item x="8"/>
        <item x="3"/>
        <item x="12"/>
        <item x="5"/>
        <item x="10"/>
        <item x="1"/>
        <item x="2"/>
        <item t="default"/>
      </items>
    </pivotField>
    <pivotField multipleItemSelectionAllowed="1" showAll="0" countASubtotal="1"/>
    <pivotField numFmtId="1" multipleItemSelectionAllowed="1" showAll="0" countASubtotal="1" avgSubtotal="1"/>
    <pivotField numFmtId="1" showAll="0"/>
    <pivotField showAll="0"/>
    <pivotField showAll="0" countASubtotal="1"/>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5"/>
  </rowFields>
  <rowItems count="9">
    <i>
      <x/>
    </i>
    <i>
      <x v="1"/>
    </i>
    <i>
      <x v="2"/>
    </i>
    <i>
      <x v="3"/>
    </i>
    <i>
      <x v="4"/>
    </i>
    <i>
      <x v="5"/>
    </i>
    <i>
      <x v="6"/>
    </i>
    <i>
      <x v="7"/>
    </i>
    <i t="grand">
      <x/>
    </i>
  </rowItems>
  <colItems count="1">
    <i/>
  </colItems>
  <dataFields count="1">
    <dataField name="Quantia" fld="0" subtotal="count" baseField="0" baseItem="0"/>
  </dataFields>
  <formats count="13">
    <format dxfId="490">
      <pivotArea dataOnly="0" outline="0" axis="axisValues" fieldPosition="0"/>
    </format>
    <format dxfId="468">
      <pivotArea type="all" dataOnly="0" outline="0" fieldPosition="0"/>
    </format>
    <format dxfId="467">
      <pivotArea outline="0" collapsedLevelsAreSubtotals="1" fieldPosition="0"/>
    </format>
    <format dxfId="466">
      <pivotArea field="5" type="button" dataOnly="0" labelOnly="1" outline="0" axis="axisRow" fieldPosition="0"/>
    </format>
    <format dxfId="465">
      <pivotArea dataOnly="0" labelOnly="1" fieldPosition="0">
        <references count="1">
          <reference field="5" count="7">
            <x v="0"/>
            <x v="1"/>
            <x v="2"/>
            <x v="4"/>
            <x v="5"/>
            <x v="6"/>
            <x v="7"/>
          </reference>
        </references>
      </pivotArea>
    </format>
    <format dxfId="464">
      <pivotArea dataOnly="0" labelOnly="1" grandRow="1" outline="0" fieldPosition="0"/>
    </format>
    <format dxfId="463">
      <pivotArea dataOnly="0" labelOnly="1" outline="0" axis="axisValues" fieldPosition="0"/>
    </format>
    <format dxfId="415">
      <pivotArea type="all" dataOnly="0" outline="0" fieldPosition="0"/>
    </format>
    <format dxfId="414">
      <pivotArea outline="0" collapsedLevelsAreSubtotals="1" fieldPosition="0"/>
    </format>
    <format dxfId="413">
      <pivotArea field="5" type="button" dataOnly="0" labelOnly="1" outline="0" axis="axisRow" fieldPosition="0"/>
    </format>
    <format dxfId="412">
      <pivotArea dataOnly="0" labelOnly="1" fieldPosition="0">
        <references count="1">
          <reference field="5" count="7">
            <x v="0"/>
            <x v="1"/>
            <x v="2"/>
            <x v="4"/>
            <x v="5"/>
            <x v="6"/>
            <x v="7"/>
          </reference>
        </references>
      </pivotArea>
    </format>
    <format dxfId="411">
      <pivotArea dataOnly="0" labelOnly="1" grandRow="1" outline="0" fieldPosition="0"/>
    </format>
    <format dxfId="410">
      <pivotArea dataOnly="0" labelOnly="1" outline="0" axis="axisValues" fieldPosition="0"/>
    </format>
  </formats>
  <chartFormats count="2">
    <chartFormat chart="16" format="2"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318C954-B3DC-42CA-AE0D-7458C9D8539A}" name="Tabela dinâmica10" cacheId="3" applyNumberFormats="0" applyBorderFormats="0" applyFontFormats="0" applyPatternFormats="0" applyAlignmentFormats="0" applyWidthHeightFormats="1" dataCaption="Valores" updatedVersion="8" minRefreshableVersion="3" useAutoFormatting="1" rowGrandTotals="0" colGrandTotals="0" itemPrintTitles="1" createdVersion="8" indent="0" outline="1" outlineData="1" multipleFieldFilters="0" chartFormat="15" rowHeaderCaption="Assunto da manifestação">
  <location ref="A20:B32" firstHeaderRow="1" firstDataRow="1" firstDataCol="1"/>
  <pivotFields count="16">
    <pivotField numFmtId="14" showAll="0">
      <items count="182">
        <item x="1"/>
        <item x="3"/>
        <item x="5"/>
        <item x="2"/>
        <item x="11"/>
        <item x="10"/>
        <item x="6"/>
        <item x="8"/>
        <item x="0"/>
        <item x="4"/>
        <item x="7"/>
        <item x="9"/>
        <item x="22"/>
        <item x="21"/>
        <item x="15"/>
        <item x="14"/>
        <item x="19"/>
        <item x="20"/>
        <item x="25"/>
        <item x="16"/>
        <item x="23"/>
        <item x="12"/>
        <item x="24"/>
        <item x="13"/>
        <item x="18"/>
        <item x="17"/>
        <item x="31"/>
        <item x="29"/>
        <item x="32"/>
        <item x="38"/>
        <item x="27"/>
        <item x="34"/>
        <item x="26"/>
        <item x="33"/>
        <item x="41"/>
        <item x="37"/>
        <item x="36"/>
        <item x="43"/>
        <item x="42"/>
        <item x="35"/>
        <item x="28"/>
        <item x="40"/>
        <item x="39"/>
        <item x="30"/>
        <item x="46"/>
        <item x="52"/>
        <item x="54"/>
        <item x="51"/>
        <item x="56"/>
        <item x="47"/>
        <item x="50"/>
        <item x="48"/>
        <item x="57"/>
        <item x="49"/>
        <item x="55"/>
        <item x="45"/>
        <item x="53"/>
        <item x="44"/>
        <item x="65"/>
        <item x="63"/>
        <item x="64"/>
        <item x="58"/>
        <item x="62"/>
        <item x="59"/>
        <item x="68"/>
        <item x="67"/>
        <item x="66"/>
        <item x="60"/>
        <item x="69"/>
        <item x="61"/>
        <item x="80"/>
        <item x="76"/>
        <item x="78"/>
        <item x="74"/>
        <item x="81"/>
        <item x="72"/>
        <item x="73"/>
        <item x="75"/>
        <item x="70"/>
        <item x="71"/>
        <item x="82"/>
        <item x="77"/>
        <item x="79"/>
        <item x="89"/>
        <item x="83"/>
        <item x="97"/>
        <item x="87"/>
        <item x="92"/>
        <item x="96"/>
        <item x="99"/>
        <item x="90"/>
        <item x="91"/>
        <item x="100"/>
        <item x="88"/>
        <item x="93"/>
        <item x="98"/>
        <item x="84"/>
        <item x="95"/>
        <item x="85"/>
        <item x="94"/>
        <item x="86"/>
        <item x="106"/>
        <item x="108"/>
        <item x="109"/>
        <item x="103"/>
        <item x="107"/>
        <item x="117"/>
        <item x="121"/>
        <item x="110"/>
        <item x="118"/>
        <item x="105"/>
        <item x="115"/>
        <item x="114"/>
        <item x="119"/>
        <item x="111"/>
        <item x="101"/>
        <item x="112"/>
        <item x="113"/>
        <item x="104"/>
        <item x="120"/>
        <item x="116"/>
        <item x="102"/>
        <item x="131"/>
        <item x="122"/>
        <item x="130"/>
        <item x="127"/>
        <item x="123"/>
        <item x="124"/>
        <item x="125"/>
        <item x="132"/>
        <item x="129"/>
        <item x="133"/>
        <item x="128"/>
        <item x="126"/>
        <item x="144"/>
        <item x="138"/>
        <item x="136"/>
        <item x="141"/>
        <item x="140"/>
        <item x="135"/>
        <item x="143"/>
        <item x="139"/>
        <item x="142"/>
        <item x="137"/>
        <item x="134"/>
        <item x="151"/>
        <item x="157"/>
        <item x="148"/>
        <item x="165"/>
        <item x="156"/>
        <item x="149"/>
        <item x="160"/>
        <item x="158"/>
        <item x="161"/>
        <item x="164"/>
        <item x="150"/>
        <item x="155"/>
        <item x="153"/>
        <item x="167"/>
        <item x="159"/>
        <item x="146"/>
        <item x="166"/>
        <item x="145"/>
        <item x="147"/>
        <item x="152"/>
        <item x="163"/>
        <item x="154"/>
        <item x="162"/>
        <item x="168"/>
        <item x="174"/>
        <item x="178"/>
        <item x="177"/>
        <item x="171"/>
        <item x="179"/>
        <item x="180"/>
        <item x="175"/>
        <item x="169"/>
        <item x="170"/>
        <item x="172"/>
        <item x="176"/>
        <item x="173"/>
        <item t="default"/>
      </items>
    </pivotField>
    <pivotField dataField="1" showAll="0">
      <items count="13">
        <item x="0"/>
        <item x="1"/>
        <item x="2"/>
        <item x="3"/>
        <item x="4"/>
        <item x="5"/>
        <item x="6"/>
        <item x="7"/>
        <item x="8"/>
        <item x="9"/>
        <item x="10"/>
        <item x="11"/>
        <item t="default"/>
      </items>
    </pivotField>
    <pivotField showAll="0">
      <items count="7">
        <item x="3"/>
        <item x="1"/>
        <item x="5"/>
        <item x="2"/>
        <item x="0"/>
        <item x="4"/>
        <item t="default"/>
      </items>
    </pivotField>
    <pivotField showAll="0">
      <items count="7">
        <item x="0"/>
        <item x="5"/>
        <item x="4"/>
        <item x="3"/>
        <item x="1"/>
        <item x="2"/>
        <item t="default"/>
      </items>
    </pivotField>
    <pivotField axis="axisRow" showAll="0">
      <items count="13">
        <item x="1"/>
        <item x="10"/>
        <item x="5"/>
        <item x="8"/>
        <item x="11"/>
        <item x="2"/>
        <item x="0"/>
        <item x="6"/>
        <item x="3"/>
        <item x="9"/>
        <item x="4"/>
        <item x="7"/>
        <item t="default"/>
      </items>
    </pivotField>
    <pivotField showAll="0">
      <items count="9">
        <item x="4"/>
        <item x="1"/>
        <item x="5"/>
        <item x="3"/>
        <item x="0"/>
        <item x="7"/>
        <item x="6"/>
        <item x="2"/>
        <item t="default"/>
      </items>
    </pivotField>
    <pivotField showAll="0">
      <items count="14">
        <item x="11"/>
        <item x="4"/>
        <item x="0"/>
        <item x="6"/>
        <item x="7"/>
        <item x="9"/>
        <item x="8"/>
        <item x="3"/>
        <item x="12"/>
        <item x="5"/>
        <item x="10"/>
        <item x="1"/>
        <item x="2"/>
        <item t="default"/>
      </items>
    </pivotField>
    <pivotField showAll="0"/>
    <pivotField numFmtId="1" showAll="0"/>
    <pivotField numFmtId="1" showAll="0"/>
    <pivotField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4"/>
  </rowFields>
  <rowItems count="12">
    <i>
      <x/>
    </i>
    <i>
      <x v="1"/>
    </i>
    <i>
      <x v="2"/>
    </i>
    <i>
      <x v="3"/>
    </i>
    <i>
      <x v="4"/>
    </i>
    <i>
      <x v="5"/>
    </i>
    <i>
      <x v="6"/>
    </i>
    <i>
      <x v="7"/>
    </i>
    <i>
      <x v="8"/>
    </i>
    <i>
      <x v="9"/>
    </i>
    <i>
      <x v="10"/>
    </i>
    <i>
      <x v="11"/>
    </i>
  </rowItems>
  <colItems count="1">
    <i/>
  </colItems>
  <dataFields count="1">
    <dataField name="Quantia" fld="1" subtotal="count" baseField="0" baseItem="0"/>
  </dataFields>
  <formats count="11">
    <format dxfId="491">
      <pivotArea dataOnly="0" labelOnly="1" outline="0" axis="axisValues" fieldPosition="0"/>
    </format>
    <format dxfId="461">
      <pivotArea type="all" dataOnly="0" outline="0" fieldPosition="0"/>
    </format>
    <format dxfId="460">
      <pivotArea outline="0" collapsedLevelsAreSubtotals="1" fieldPosition="0"/>
    </format>
    <format dxfId="459">
      <pivotArea field="4" type="button" dataOnly="0" labelOnly="1" outline="0" axis="axisRow" fieldPosition="0"/>
    </format>
    <format dxfId="458">
      <pivotArea dataOnly="0" labelOnly="1" fieldPosition="0">
        <references count="1">
          <reference field="4" count="8">
            <x v="0"/>
            <x v="1"/>
            <x v="3"/>
            <x v="4"/>
            <x v="5"/>
            <x v="6"/>
            <x v="7"/>
            <x v="8"/>
          </reference>
        </references>
      </pivotArea>
    </format>
    <format dxfId="457">
      <pivotArea dataOnly="0" labelOnly="1" outline="0" axis="axisValues" fieldPosition="0"/>
    </format>
    <format dxfId="408">
      <pivotArea type="all" dataOnly="0" outline="0" fieldPosition="0"/>
    </format>
    <format dxfId="407">
      <pivotArea outline="0" collapsedLevelsAreSubtotals="1" fieldPosition="0"/>
    </format>
    <format dxfId="406">
      <pivotArea field="4" type="button" dataOnly="0" labelOnly="1" outline="0" axis="axisRow" fieldPosition="0"/>
    </format>
    <format dxfId="405">
      <pivotArea dataOnly="0" labelOnly="1" fieldPosition="0">
        <references count="1">
          <reference field="4" count="8">
            <x v="0"/>
            <x v="1"/>
            <x v="3"/>
            <x v="4"/>
            <x v="5"/>
            <x v="6"/>
            <x v="7"/>
            <x v="8"/>
          </reference>
        </references>
      </pivotArea>
    </format>
    <format dxfId="404">
      <pivotArea dataOnly="0" labelOnly="1" outline="0" axis="axisValues" fieldPosition="0"/>
    </format>
  </formats>
  <chartFormats count="2">
    <chartFormat chart="8" format="2"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401721F-4920-48AC-A153-3988E81ECD07}" name="Tabela dinâmica23" cacheId="3"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14">
  <location ref="A133:A134" firstHeaderRow="1" firstDataRow="1" firstDataCol="0"/>
  <pivotFields count="16">
    <pivotField numFmtId="14" showAll="0" avgSubtotal="1">
      <items count="182">
        <item x="1"/>
        <item x="3"/>
        <item x="5"/>
        <item x="2"/>
        <item x="11"/>
        <item x="10"/>
        <item x="6"/>
        <item x="8"/>
        <item x="0"/>
        <item x="4"/>
        <item x="7"/>
        <item x="9"/>
        <item x="22"/>
        <item x="21"/>
        <item x="15"/>
        <item x="14"/>
        <item x="19"/>
        <item x="20"/>
        <item x="25"/>
        <item x="16"/>
        <item x="23"/>
        <item x="12"/>
        <item x="24"/>
        <item x="13"/>
        <item x="18"/>
        <item x="17"/>
        <item x="31"/>
        <item x="29"/>
        <item x="32"/>
        <item x="38"/>
        <item x="27"/>
        <item x="34"/>
        <item x="26"/>
        <item x="33"/>
        <item x="41"/>
        <item x="37"/>
        <item x="36"/>
        <item x="43"/>
        <item x="42"/>
        <item x="35"/>
        <item x="28"/>
        <item x="40"/>
        <item x="39"/>
        <item x="30"/>
        <item x="46"/>
        <item x="52"/>
        <item x="54"/>
        <item x="51"/>
        <item x="56"/>
        <item x="47"/>
        <item x="50"/>
        <item x="48"/>
        <item x="57"/>
        <item x="49"/>
        <item x="55"/>
        <item x="45"/>
        <item x="53"/>
        <item x="44"/>
        <item x="65"/>
        <item x="63"/>
        <item x="64"/>
        <item x="58"/>
        <item x="62"/>
        <item x="59"/>
        <item x="68"/>
        <item x="67"/>
        <item x="66"/>
        <item x="60"/>
        <item x="69"/>
        <item x="61"/>
        <item x="80"/>
        <item x="76"/>
        <item x="78"/>
        <item x="74"/>
        <item x="81"/>
        <item x="72"/>
        <item x="73"/>
        <item x="75"/>
        <item x="70"/>
        <item x="71"/>
        <item x="82"/>
        <item x="77"/>
        <item x="79"/>
        <item x="89"/>
        <item x="83"/>
        <item x="97"/>
        <item x="87"/>
        <item x="92"/>
        <item x="96"/>
        <item x="99"/>
        <item x="90"/>
        <item x="91"/>
        <item x="100"/>
        <item x="88"/>
        <item x="93"/>
        <item x="98"/>
        <item x="84"/>
        <item x="95"/>
        <item x="85"/>
        <item x="94"/>
        <item x="86"/>
        <item x="106"/>
        <item x="108"/>
        <item x="109"/>
        <item x="103"/>
        <item x="107"/>
        <item x="117"/>
        <item x="121"/>
        <item x="110"/>
        <item x="118"/>
        <item x="105"/>
        <item x="115"/>
        <item x="114"/>
        <item x="119"/>
        <item x="111"/>
        <item x="101"/>
        <item x="112"/>
        <item x="113"/>
        <item x="104"/>
        <item x="120"/>
        <item x="116"/>
        <item x="102"/>
        <item x="131"/>
        <item x="122"/>
        <item x="130"/>
        <item x="127"/>
        <item x="123"/>
        <item x="124"/>
        <item x="125"/>
        <item x="132"/>
        <item x="129"/>
        <item x="133"/>
        <item x="128"/>
        <item x="126"/>
        <item x="144"/>
        <item x="138"/>
        <item x="136"/>
        <item x="141"/>
        <item x="140"/>
        <item x="135"/>
        <item x="143"/>
        <item x="139"/>
        <item x="142"/>
        <item x="137"/>
        <item x="134"/>
        <item x="151"/>
        <item x="157"/>
        <item x="148"/>
        <item x="165"/>
        <item x="156"/>
        <item x="149"/>
        <item x="160"/>
        <item x="158"/>
        <item x="161"/>
        <item x="164"/>
        <item x="150"/>
        <item x="155"/>
        <item x="153"/>
        <item x="167"/>
        <item x="159"/>
        <item x="146"/>
        <item x="166"/>
        <item x="145"/>
        <item x="147"/>
        <item x="152"/>
        <item x="163"/>
        <item x="154"/>
        <item x="162"/>
        <item x="168"/>
        <item x="174"/>
        <item x="178"/>
        <item x="177"/>
        <item x="171"/>
        <item x="179"/>
        <item x="180"/>
        <item x="175"/>
        <item x="169"/>
        <item x="170"/>
        <item x="172"/>
        <item x="176"/>
        <item x="173"/>
        <item t="avg"/>
      </items>
    </pivotField>
    <pivotField showAll="0">
      <items count="13">
        <item x="0"/>
        <item x="1"/>
        <item x="2"/>
        <item x="3"/>
        <item x="4"/>
        <item x="5"/>
        <item x="6"/>
        <item x="7"/>
        <item x="8"/>
        <item x="9"/>
        <item x="10"/>
        <item x="11"/>
        <item t="default"/>
      </items>
    </pivotField>
    <pivotField multipleItemSelectionAllowed="1" showAll="0" avgSubtotal="1">
      <items count="7">
        <item x="3"/>
        <item x="1"/>
        <item x="5"/>
        <item x="2"/>
        <item x="0"/>
        <item x="4"/>
        <item t="avg"/>
      </items>
    </pivotField>
    <pivotField multipleItemSelectionAllowed="1" showAll="0">
      <items count="7">
        <item x="0"/>
        <item x="5"/>
        <item x="4"/>
        <item x="3"/>
        <item x="1"/>
        <item x="2"/>
        <item t="default"/>
      </items>
    </pivotField>
    <pivotField showAll="0"/>
    <pivotField showAll="0">
      <items count="9">
        <item x="4"/>
        <item x="1"/>
        <item x="5"/>
        <item x="3"/>
        <item x="0"/>
        <item x="7"/>
        <item x="6"/>
        <item x="2"/>
        <item t="default"/>
      </items>
    </pivotField>
    <pivotField showAll="0">
      <items count="14">
        <item x="11"/>
        <item x="4"/>
        <item x="0"/>
        <item x="6"/>
        <item x="7"/>
        <item x="9"/>
        <item x="8"/>
        <item x="3"/>
        <item x="12"/>
        <item x="5"/>
        <item x="10"/>
        <item x="1"/>
        <item x="2"/>
        <item t="default"/>
      </items>
    </pivotField>
    <pivotField multipleItemSelectionAllowed="1" showAll="0" countASubtotal="1"/>
    <pivotField numFmtId="1" multipleItemSelectionAllowed="1" showAll="0" countASubtotal="1" avgSubtotal="1">
      <items count="35">
        <item x="2"/>
        <item x="12"/>
        <item x="3"/>
        <item x="1"/>
        <item x="25"/>
        <item x="14"/>
        <item x="11"/>
        <item x="24"/>
        <item x="0"/>
        <item x="6"/>
        <item x="32"/>
        <item x="23"/>
        <item x="21"/>
        <item x="13"/>
        <item x="19"/>
        <item x="10"/>
        <item x="15"/>
        <item x="22"/>
        <item x="16"/>
        <item x="20"/>
        <item x="18"/>
        <item x="17"/>
        <item x="26"/>
        <item x="4"/>
        <item x="27"/>
        <item x="31"/>
        <item x="9"/>
        <item x="7"/>
        <item x="8"/>
        <item x="5"/>
        <item x="29"/>
        <item x="30"/>
        <item x="28"/>
        <item t="countA"/>
        <item t="avg"/>
      </items>
    </pivotField>
    <pivotField numFmtId="1" showAll="0">
      <items count="3">
        <item x="1"/>
        <item x="0"/>
        <item t="default"/>
      </items>
    </pivotField>
    <pivotField showAll="0">
      <items count="3">
        <item x="1"/>
        <item x="0"/>
        <item t="default"/>
      </items>
    </pivotField>
    <pivotField showAll="0" countASubtotal="1"/>
    <pivotField dataField="1" showAll="0" countASubtotal="1" avgSubtotal="1">
      <items count="8">
        <item x="0"/>
        <item x="3"/>
        <item x="1"/>
        <item x="4"/>
        <item x="5"/>
        <item x="2"/>
        <item t="avg"/>
        <item t="countA"/>
      </items>
    </pivotField>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Items count="1">
    <i/>
  </colItems>
  <dataFields count="1">
    <dataField name="Média de Satisfação de 1 a 5" fld="12" subtotal="average" baseField="12" baseItem="0"/>
  </dataFields>
  <formats count="6">
    <format dxfId="455">
      <pivotArea type="all" dataOnly="0" outline="0" fieldPosition="0"/>
    </format>
    <format dxfId="454">
      <pivotArea outline="0" collapsedLevelsAreSubtotals="1" fieldPosition="0"/>
    </format>
    <format dxfId="453">
      <pivotArea dataOnly="0" labelOnly="1" outline="0" axis="axisValues" fieldPosition="0"/>
    </format>
    <format dxfId="402">
      <pivotArea type="all" dataOnly="0" outline="0" fieldPosition="0"/>
    </format>
    <format dxfId="401">
      <pivotArea outline="0" collapsedLevelsAreSubtotals="1" fieldPosition="0"/>
    </format>
    <format dxfId="40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B1D354D-A67F-4D47-86E5-FAD7DBB3613C}" name="Tabela dinâmica22" cacheId="3"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26" rowHeaderCaption="Respondido no Prazo">
  <location ref="A120:B123" firstHeaderRow="1" firstDataRow="1" firstDataCol="1"/>
  <pivotFields count="16">
    <pivotField numFmtId="14" showAll="0" avgSubtotal="1">
      <items count="182">
        <item x="1"/>
        <item x="3"/>
        <item x="5"/>
        <item x="2"/>
        <item x="11"/>
        <item x="10"/>
        <item x="6"/>
        <item x="8"/>
        <item x="0"/>
        <item x="4"/>
        <item x="7"/>
        <item x="9"/>
        <item x="22"/>
        <item x="21"/>
        <item x="15"/>
        <item x="14"/>
        <item x="19"/>
        <item x="20"/>
        <item x="25"/>
        <item x="16"/>
        <item x="23"/>
        <item x="12"/>
        <item x="24"/>
        <item x="13"/>
        <item x="18"/>
        <item x="17"/>
        <item x="31"/>
        <item x="29"/>
        <item x="32"/>
        <item x="38"/>
        <item x="27"/>
        <item x="34"/>
        <item x="26"/>
        <item x="33"/>
        <item x="41"/>
        <item x="37"/>
        <item x="36"/>
        <item x="43"/>
        <item x="42"/>
        <item x="35"/>
        <item x="28"/>
        <item x="40"/>
        <item x="39"/>
        <item x="30"/>
        <item x="46"/>
        <item x="52"/>
        <item x="54"/>
        <item x="51"/>
        <item x="56"/>
        <item x="47"/>
        <item x="50"/>
        <item x="48"/>
        <item x="57"/>
        <item x="49"/>
        <item x="55"/>
        <item x="45"/>
        <item x="53"/>
        <item x="44"/>
        <item x="65"/>
        <item x="63"/>
        <item x="64"/>
        <item x="58"/>
        <item x="62"/>
        <item x="59"/>
        <item x="68"/>
        <item x="67"/>
        <item x="66"/>
        <item x="60"/>
        <item x="69"/>
        <item x="61"/>
        <item x="80"/>
        <item x="76"/>
        <item x="78"/>
        <item x="74"/>
        <item x="81"/>
        <item x="72"/>
        <item x="73"/>
        <item x="75"/>
        <item x="70"/>
        <item x="71"/>
        <item x="82"/>
        <item x="77"/>
        <item x="79"/>
        <item x="89"/>
        <item x="83"/>
        <item x="97"/>
        <item x="87"/>
        <item x="92"/>
        <item x="96"/>
        <item x="99"/>
        <item x="90"/>
        <item x="91"/>
        <item x="100"/>
        <item x="88"/>
        <item x="93"/>
        <item x="98"/>
        <item x="84"/>
        <item x="95"/>
        <item x="85"/>
        <item x="94"/>
        <item x="86"/>
        <item x="106"/>
        <item x="108"/>
        <item x="109"/>
        <item x="103"/>
        <item x="107"/>
        <item x="117"/>
        <item x="121"/>
        <item x="110"/>
        <item x="118"/>
        <item x="105"/>
        <item x="115"/>
        <item x="114"/>
        <item x="119"/>
        <item x="111"/>
        <item x="101"/>
        <item x="112"/>
        <item x="113"/>
        <item x="104"/>
        <item x="120"/>
        <item x="116"/>
        <item x="102"/>
        <item x="131"/>
        <item x="122"/>
        <item x="130"/>
        <item x="127"/>
        <item x="123"/>
        <item x="124"/>
        <item x="125"/>
        <item x="132"/>
        <item x="129"/>
        <item x="133"/>
        <item x="128"/>
        <item x="126"/>
        <item x="144"/>
        <item x="138"/>
        <item x="136"/>
        <item x="141"/>
        <item x="140"/>
        <item x="135"/>
        <item x="143"/>
        <item x="139"/>
        <item x="142"/>
        <item x="137"/>
        <item x="134"/>
        <item x="151"/>
        <item x="157"/>
        <item x="148"/>
        <item x="165"/>
        <item x="156"/>
        <item x="149"/>
        <item x="160"/>
        <item x="158"/>
        <item x="161"/>
        <item x="164"/>
        <item x="150"/>
        <item x="155"/>
        <item x="153"/>
        <item x="167"/>
        <item x="159"/>
        <item x="146"/>
        <item x="166"/>
        <item x="145"/>
        <item x="147"/>
        <item x="152"/>
        <item x="163"/>
        <item x="154"/>
        <item x="162"/>
        <item x="168"/>
        <item x="174"/>
        <item x="178"/>
        <item x="177"/>
        <item x="171"/>
        <item x="179"/>
        <item x="180"/>
        <item x="175"/>
        <item x="169"/>
        <item x="170"/>
        <item x="172"/>
        <item x="176"/>
        <item x="173"/>
        <item t="avg"/>
      </items>
    </pivotField>
    <pivotField showAll="0">
      <items count="13">
        <item x="0"/>
        <item x="1"/>
        <item x="2"/>
        <item x="3"/>
        <item x="4"/>
        <item x="5"/>
        <item x="6"/>
        <item x="7"/>
        <item x="8"/>
        <item x="9"/>
        <item x="10"/>
        <item x="11"/>
        <item t="default"/>
      </items>
    </pivotField>
    <pivotField multipleItemSelectionAllowed="1" showAll="0" avgSubtotal="1">
      <items count="7">
        <item x="3"/>
        <item x="1"/>
        <item x="5"/>
        <item x="2"/>
        <item x="0"/>
        <item x="4"/>
        <item t="avg"/>
      </items>
    </pivotField>
    <pivotField multipleItemSelectionAllowed="1" showAll="0">
      <items count="7">
        <item x="0"/>
        <item x="5"/>
        <item x="4"/>
        <item x="3"/>
        <item x="1"/>
        <item x="2"/>
        <item t="default"/>
      </items>
    </pivotField>
    <pivotField showAll="0"/>
    <pivotField showAll="0">
      <items count="9">
        <item x="4"/>
        <item x="1"/>
        <item x="5"/>
        <item x="3"/>
        <item x="0"/>
        <item x="7"/>
        <item x="6"/>
        <item x="2"/>
        <item t="default"/>
      </items>
    </pivotField>
    <pivotField showAll="0">
      <items count="14">
        <item x="11"/>
        <item x="4"/>
        <item x="0"/>
        <item x="6"/>
        <item x="7"/>
        <item x="9"/>
        <item x="8"/>
        <item x="3"/>
        <item x="12"/>
        <item x="5"/>
        <item x="10"/>
        <item x="1"/>
        <item x="2"/>
        <item t="default"/>
      </items>
    </pivotField>
    <pivotField multipleItemSelectionAllowed="1" showAll="0" countASubtotal="1"/>
    <pivotField dataField="1" numFmtId="1" multipleItemSelectionAllowed="1" showAll="0" countASubtotal="1" avgSubtotal="1">
      <items count="35">
        <item x="2"/>
        <item x="12"/>
        <item x="3"/>
        <item x="1"/>
        <item x="25"/>
        <item x="14"/>
        <item x="11"/>
        <item x="24"/>
        <item x="0"/>
        <item x="6"/>
        <item x="32"/>
        <item x="23"/>
        <item x="21"/>
        <item x="13"/>
        <item x="19"/>
        <item x="10"/>
        <item x="15"/>
        <item x="22"/>
        <item x="16"/>
        <item x="20"/>
        <item x="18"/>
        <item x="17"/>
        <item x="26"/>
        <item x="4"/>
        <item x="27"/>
        <item x="31"/>
        <item x="9"/>
        <item x="7"/>
        <item x="8"/>
        <item x="5"/>
        <item x="29"/>
        <item x="30"/>
        <item x="28"/>
        <item t="countA"/>
        <item t="avg"/>
      </items>
    </pivotField>
    <pivotField numFmtId="1" showAll="0">
      <items count="3">
        <item x="1"/>
        <item x="0"/>
        <item t="default"/>
      </items>
    </pivotField>
    <pivotField axis="axisRow" showAll="0">
      <items count="3">
        <item x="1"/>
        <item x="0"/>
        <item t="default"/>
      </items>
    </pivotField>
    <pivotField showAll="0" countASubtotal="1"/>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0"/>
  </rowFields>
  <rowItems count="3">
    <i>
      <x/>
    </i>
    <i>
      <x v="1"/>
    </i>
    <i t="grand">
      <x/>
    </i>
  </rowItems>
  <colItems count="1">
    <i/>
  </colItems>
  <dataFields count="1">
    <dataField name="Quantia" fld="8" subtotal="count" baseField="10" baseItem="0"/>
  </dataFields>
  <formats count="12">
    <format dxfId="451">
      <pivotArea type="all" dataOnly="0" outline="0" fieldPosition="0"/>
    </format>
    <format dxfId="450">
      <pivotArea outline="0" collapsedLevelsAreSubtotals="1" fieldPosition="0"/>
    </format>
    <format dxfId="449">
      <pivotArea field="10" type="button" dataOnly="0" labelOnly="1" outline="0" axis="axisRow" fieldPosition="0"/>
    </format>
    <format dxfId="448">
      <pivotArea dataOnly="0" labelOnly="1" fieldPosition="0">
        <references count="1">
          <reference field="10" count="0"/>
        </references>
      </pivotArea>
    </format>
    <format dxfId="447">
      <pivotArea dataOnly="0" labelOnly="1" grandRow="1" outline="0" fieldPosition="0"/>
    </format>
    <format dxfId="446">
      <pivotArea dataOnly="0" labelOnly="1" outline="0" axis="axisValues" fieldPosition="0"/>
    </format>
    <format dxfId="398">
      <pivotArea type="all" dataOnly="0" outline="0" fieldPosition="0"/>
    </format>
    <format dxfId="397">
      <pivotArea outline="0" collapsedLevelsAreSubtotals="1" fieldPosition="0"/>
    </format>
    <format dxfId="396">
      <pivotArea field="10" type="button" dataOnly="0" labelOnly="1" outline="0" axis="axisRow" fieldPosition="0"/>
    </format>
    <format dxfId="395">
      <pivotArea dataOnly="0" labelOnly="1" fieldPosition="0">
        <references count="1">
          <reference field="10" count="0"/>
        </references>
      </pivotArea>
    </format>
    <format dxfId="394">
      <pivotArea dataOnly="0" labelOnly="1" grandRow="1" outline="0" fieldPosition="0"/>
    </format>
    <format dxfId="393">
      <pivotArea dataOnly="0" labelOnly="1" outline="0" axis="axisValues" fieldPosition="0"/>
    </format>
  </formats>
  <chartFormats count="6">
    <chartFormat chart="23" format="4" series="1">
      <pivotArea type="data" outline="0" fieldPosition="0">
        <references count="1">
          <reference field="4294967294" count="1" selected="0">
            <x v="0"/>
          </reference>
        </references>
      </pivotArea>
    </chartFormat>
    <chartFormat chart="23" format="5">
      <pivotArea type="data" outline="0" fieldPosition="0">
        <references count="2">
          <reference field="4294967294" count="1" selected="0">
            <x v="0"/>
          </reference>
          <reference field="10" count="1" selected="0">
            <x v="0"/>
          </reference>
        </references>
      </pivotArea>
    </chartFormat>
    <chartFormat chart="23" format="6">
      <pivotArea type="data" outline="0" fieldPosition="0">
        <references count="2">
          <reference field="4294967294" count="1" selected="0">
            <x v="0"/>
          </reference>
          <reference field="10" count="1" selected="0">
            <x v="1"/>
          </reference>
        </references>
      </pivotArea>
    </chartFormat>
    <chartFormat chart="16" format="1" series="1">
      <pivotArea type="data" outline="0" fieldPosition="0">
        <references count="1">
          <reference field="4294967294" count="1" selected="0">
            <x v="0"/>
          </reference>
        </references>
      </pivotArea>
    </chartFormat>
    <chartFormat chart="16" format="2">
      <pivotArea type="data" outline="0" fieldPosition="0">
        <references count="2">
          <reference field="4294967294" count="1" selected="0">
            <x v="0"/>
          </reference>
          <reference field="10" count="1" selected="0">
            <x v="0"/>
          </reference>
        </references>
      </pivotArea>
    </chartFormat>
    <chartFormat chart="16" format="3">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5BCD7E8-6B19-4EC1-B737-EC9566220E33}" name="Tabela dinâmica8" cacheId="3"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12" rowHeaderCaption="Mês ">
  <location ref="A3:B16" firstHeaderRow="1" firstDataRow="1" firstDataCol="1"/>
  <pivotFields count="16">
    <pivotField numFmtId="14" showAll="0">
      <items count="182">
        <item x="1"/>
        <item x="3"/>
        <item x="5"/>
        <item x="2"/>
        <item x="11"/>
        <item x="10"/>
        <item x="6"/>
        <item x="8"/>
        <item x="0"/>
        <item x="4"/>
        <item x="7"/>
        <item x="9"/>
        <item x="22"/>
        <item x="21"/>
        <item x="15"/>
        <item x="14"/>
        <item x="19"/>
        <item x="20"/>
        <item x="25"/>
        <item x="16"/>
        <item x="23"/>
        <item x="12"/>
        <item x="24"/>
        <item x="13"/>
        <item x="18"/>
        <item x="17"/>
        <item x="31"/>
        <item x="29"/>
        <item x="32"/>
        <item x="38"/>
        <item x="27"/>
        <item x="34"/>
        <item x="26"/>
        <item x="33"/>
        <item x="41"/>
        <item x="37"/>
        <item x="36"/>
        <item x="43"/>
        <item x="42"/>
        <item x="35"/>
        <item x="28"/>
        <item x="40"/>
        <item x="39"/>
        <item x="30"/>
        <item x="46"/>
        <item x="52"/>
        <item x="54"/>
        <item x="51"/>
        <item x="56"/>
        <item x="47"/>
        <item x="50"/>
        <item x="48"/>
        <item x="57"/>
        <item x="49"/>
        <item x="55"/>
        <item x="45"/>
        <item x="53"/>
        <item x="44"/>
        <item x="65"/>
        <item x="63"/>
        <item x="64"/>
        <item x="58"/>
        <item x="62"/>
        <item x="59"/>
        <item x="68"/>
        <item x="67"/>
        <item x="66"/>
        <item x="60"/>
        <item x="69"/>
        <item x="61"/>
        <item x="80"/>
        <item x="76"/>
        <item x="78"/>
        <item x="74"/>
        <item x="81"/>
        <item x="72"/>
        <item x="73"/>
        <item x="75"/>
        <item x="70"/>
        <item x="71"/>
        <item x="82"/>
        <item x="77"/>
        <item x="79"/>
        <item x="89"/>
        <item x="83"/>
        <item x="97"/>
        <item x="87"/>
        <item x="92"/>
        <item x="96"/>
        <item x="99"/>
        <item x="90"/>
        <item x="91"/>
        <item x="100"/>
        <item x="88"/>
        <item x="93"/>
        <item x="98"/>
        <item x="84"/>
        <item x="95"/>
        <item x="85"/>
        <item x="94"/>
        <item x="86"/>
        <item x="106"/>
        <item x="108"/>
        <item x="109"/>
        <item x="103"/>
        <item x="107"/>
        <item x="117"/>
        <item x="121"/>
        <item x="110"/>
        <item x="118"/>
        <item x="105"/>
        <item x="115"/>
        <item x="114"/>
        <item x="119"/>
        <item x="111"/>
        <item x="101"/>
        <item x="112"/>
        <item x="113"/>
        <item x="104"/>
        <item x="120"/>
        <item x="116"/>
        <item x="102"/>
        <item x="131"/>
        <item x="122"/>
        <item x="130"/>
        <item x="127"/>
        <item x="123"/>
        <item x="124"/>
        <item x="125"/>
        <item x="132"/>
        <item x="129"/>
        <item x="133"/>
        <item x="128"/>
        <item x="126"/>
        <item x="144"/>
        <item x="138"/>
        <item x="136"/>
        <item x="141"/>
        <item x="140"/>
        <item x="135"/>
        <item x="143"/>
        <item x="139"/>
        <item x="142"/>
        <item x="137"/>
        <item x="134"/>
        <item x="151"/>
        <item x="157"/>
        <item x="148"/>
        <item x="165"/>
        <item x="156"/>
        <item x="149"/>
        <item x="160"/>
        <item x="158"/>
        <item x="161"/>
        <item x="164"/>
        <item x="150"/>
        <item x="155"/>
        <item x="153"/>
        <item x="167"/>
        <item x="159"/>
        <item x="146"/>
        <item x="166"/>
        <item x="145"/>
        <item x="147"/>
        <item x="152"/>
        <item x="163"/>
        <item x="154"/>
        <item x="162"/>
        <item x="168"/>
        <item x="174"/>
        <item x="178"/>
        <item x="177"/>
        <item x="171"/>
        <item x="179"/>
        <item x="180"/>
        <item x="175"/>
        <item x="169"/>
        <item x="170"/>
        <item x="172"/>
        <item x="176"/>
        <item x="173"/>
        <item t="default"/>
      </items>
    </pivotField>
    <pivotField showAll="0">
      <items count="13">
        <item x="0"/>
        <item x="1"/>
        <item x="2"/>
        <item x="3"/>
        <item x="4"/>
        <item x="5"/>
        <item x="6"/>
        <item x="7"/>
        <item x="8"/>
        <item x="9"/>
        <item x="10"/>
        <item x="11"/>
        <item t="default"/>
      </items>
    </pivotField>
    <pivotField showAll="0">
      <items count="7">
        <item x="3"/>
        <item x="1"/>
        <item x="5"/>
        <item x="2"/>
        <item x="0"/>
        <item x="4"/>
        <item t="default"/>
      </items>
    </pivotField>
    <pivotField dataField="1" showAll="0">
      <items count="7">
        <item x="0"/>
        <item x="5"/>
        <item x="4"/>
        <item x="3"/>
        <item x="1"/>
        <item x="2"/>
        <item t="default"/>
      </items>
    </pivotField>
    <pivotField showAll="0"/>
    <pivotField showAll="0">
      <items count="9">
        <item x="4"/>
        <item x="1"/>
        <item x="5"/>
        <item x="3"/>
        <item x="0"/>
        <item x="7"/>
        <item x="6"/>
        <item x="2"/>
        <item t="default"/>
      </items>
    </pivotField>
    <pivotField showAll="0">
      <items count="14">
        <item x="11"/>
        <item x="4"/>
        <item x="0"/>
        <item x="6"/>
        <item x="7"/>
        <item x="9"/>
        <item x="8"/>
        <item x="3"/>
        <item x="12"/>
        <item x="5"/>
        <item x="10"/>
        <item x="1"/>
        <item x="2"/>
        <item t="default"/>
      </items>
    </pivotField>
    <pivotField showAll="0"/>
    <pivotField numFmtId="1" showAll="0"/>
    <pivotField numFmtId="1" showAll="0"/>
    <pivotField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n="Janeiro" sd="0" x="1"/>
        <item n="Fevereiro" sd="0" x="2"/>
        <item n="Março" sd="0" x="3"/>
        <item n="Abril" sd="0" x="4"/>
        <item n="Maio" sd="0" x="5"/>
        <item n="Junho" sd="0" x="6"/>
        <item n="Julho" sd="0" x="7"/>
        <item n="Agosto" sd="0" x="8"/>
        <item n="Setembro" sd="0" x="9"/>
        <item n="Outubro" sd="0" x="10"/>
        <item n="Novembro" sd="0" x="11"/>
        <item n="Dezembro" sd="0" x="12"/>
        <item sd="0" x="13"/>
        <item t="default"/>
      </items>
    </pivotField>
  </pivotFields>
  <rowFields count="1">
    <field x="15"/>
  </rowFields>
  <rowItems count="13">
    <i>
      <x v="1"/>
    </i>
    <i>
      <x v="2"/>
    </i>
    <i>
      <x v="3"/>
    </i>
    <i>
      <x v="4"/>
    </i>
    <i>
      <x v="5"/>
    </i>
    <i>
      <x v="6"/>
    </i>
    <i>
      <x v="7"/>
    </i>
    <i>
      <x v="8"/>
    </i>
    <i>
      <x v="9"/>
    </i>
    <i>
      <x v="10"/>
    </i>
    <i>
      <x v="11"/>
    </i>
    <i>
      <x v="12"/>
    </i>
    <i t="grand">
      <x/>
    </i>
  </rowItems>
  <colItems count="1">
    <i/>
  </colItems>
  <dataFields count="1">
    <dataField name="Quantia" fld="3" subtotal="count" baseField="0" baseItem="0"/>
  </dataFields>
  <formats count="13">
    <format dxfId="492">
      <pivotArea dataOnly="0" outline="0" axis="axisValues" fieldPosition="0"/>
    </format>
    <format dxfId="444">
      <pivotArea type="all" dataOnly="0" outline="0" fieldPosition="0"/>
    </format>
    <format dxfId="443">
      <pivotArea outline="0" collapsedLevelsAreSubtotals="1" fieldPosition="0"/>
    </format>
    <format dxfId="442">
      <pivotArea field="15" type="button" dataOnly="0" labelOnly="1" outline="0" axis="axisRow" fieldPosition="0"/>
    </format>
    <format dxfId="441">
      <pivotArea dataOnly="0" labelOnly="1" fieldPosition="0">
        <references count="1">
          <reference field="15" count="1">
            <x v="6"/>
          </reference>
        </references>
      </pivotArea>
    </format>
    <format dxfId="440">
      <pivotArea dataOnly="0" labelOnly="1" grandRow="1" outline="0" fieldPosition="0"/>
    </format>
    <format dxfId="439">
      <pivotArea dataOnly="0" labelOnly="1" outline="0" axis="axisValues" fieldPosition="0"/>
    </format>
    <format dxfId="391">
      <pivotArea type="all" dataOnly="0" outline="0" fieldPosition="0"/>
    </format>
    <format dxfId="390">
      <pivotArea outline="0" collapsedLevelsAreSubtotals="1" fieldPosition="0"/>
    </format>
    <format dxfId="389">
      <pivotArea field="15" type="button" dataOnly="0" labelOnly="1" outline="0" axis="axisRow" fieldPosition="0"/>
    </format>
    <format dxfId="388">
      <pivotArea dataOnly="0" labelOnly="1" fieldPosition="0">
        <references count="1">
          <reference field="15" count="1">
            <x v="6"/>
          </reference>
        </references>
      </pivotArea>
    </format>
    <format dxfId="387">
      <pivotArea dataOnly="0" labelOnly="1" grandRow="1" outline="0" fieldPosition="0"/>
    </format>
    <format dxfId="386">
      <pivotArea dataOnly="0" labelOnly="1" outline="0" axis="axisValues" fieldPosition="0"/>
    </format>
  </formats>
  <chartFormats count="13">
    <chartFormat chart="9" format="205" series="1">
      <pivotArea type="data" outline="0" fieldPosition="0">
        <references count="1">
          <reference field="4294967294" count="1" selected="0">
            <x v="0"/>
          </reference>
        </references>
      </pivotArea>
    </chartFormat>
    <chartFormat chart="9" format="206">
      <pivotArea type="data" outline="0" fieldPosition="0">
        <references count="2">
          <reference field="4294967294" count="1" selected="0">
            <x v="0"/>
          </reference>
          <reference field="15" count="1" selected="0">
            <x v="1"/>
          </reference>
        </references>
      </pivotArea>
    </chartFormat>
    <chartFormat chart="9" format="207">
      <pivotArea type="data" outline="0" fieldPosition="0">
        <references count="2">
          <reference field="4294967294" count="1" selected="0">
            <x v="0"/>
          </reference>
          <reference field="15" count="1" selected="0">
            <x v="2"/>
          </reference>
        </references>
      </pivotArea>
    </chartFormat>
    <chartFormat chart="9" format="208">
      <pivotArea type="data" outline="0" fieldPosition="0">
        <references count="2">
          <reference field="4294967294" count="1" selected="0">
            <x v="0"/>
          </reference>
          <reference field="15" count="1" selected="0">
            <x v="3"/>
          </reference>
        </references>
      </pivotArea>
    </chartFormat>
    <chartFormat chart="9" format="209">
      <pivotArea type="data" outline="0" fieldPosition="0">
        <references count="2">
          <reference field="4294967294" count="1" selected="0">
            <x v="0"/>
          </reference>
          <reference field="15" count="1" selected="0">
            <x v="4"/>
          </reference>
        </references>
      </pivotArea>
    </chartFormat>
    <chartFormat chart="9" format="210">
      <pivotArea type="data" outline="0" fieldPosition="0">
        <references count="2">
          <reference field="4294967294" count="1" selected="0">
            <x v="0"/>
          </reference>
          <reference field="15" count="1" selected="0">
            <x v="5"/>
          </reference>
        </references>
      </pivotArea>
    </chartFormat>
    <chartFormat chart="9" format="211">
      <pivotArea type="data" outline="0" fieldPosition="0">
        <references count="2">
          <reference field="4294967294" count="1" selected="0">
            <x v="0"/>
          </reference>
          <reference field="15" count="1" selected="0">
            <x v="6"/>
          </reference>
        </references>
      </pivotArea>
    </chartFormat>
    <chartFormat chart="9" format="212">
      <pivotArea type="data" outline="0" fieldPosition="0">
        <references count="2">
          <reference field="4294967294" count="1" selected="0">
            <x v="0"/>
          </reference>
          <reference field="15" count="1" selected="0">
            <x v="7"/>
          </reference>
        </references>
      </pivotArea>
    </chartFormat>
    <chartFormat chart="9" format="213">
      <pivotArea type="data" outline="0" fieldPosition="0">
        <references count="2">
          <reference field="4294967294" count="1" selected="0">
            <x v="0"/>
          </reference>
          <reference field="15" count="1" selected="0">
            <x v="8"/>
          </reference>
        </references>
      </pivotArea>
    </chartFormat>
    <chartFormat chart="9" format="214">
      <pivotArea type="data" outline="0" fieldPosition="0">
        <references count="2">
          <reference field="4294967294" count="1" selected="0">
            <x v="0"/>
          </reference>
          <reference field="15" count="1" selected="0">
            <x v="9"/>
          </reference>
        </references>
      </pivotArea>
    </chartFormat>
    <chartFormat chart="9" format="215">
      <pivotArea type="data" outline="0" fieldPosition="0">
        <references count="2">
          <reference field="4294967294" count="1" selected="0">
            <x v="0"/>
          </reference>
          <reference field="15" count="1" selected="0">
            <x v="10"/>
          </reference>
        </references>
      </pivotArea>
    </chartFormat>
    <chartFormat chart="9" format="216">
      <pivotArea type="data" outline="0" fieldPosition="0">
        <references count="2">
          <reference field="4294967294" count="1" selected="0">
            <x v="0"/>
          </reference>
          <reference field="15" count="1" selected="0">
            <x v="12"/>
          </reference>
        </references>
      </pivotArea>
    </chartFormat>
    <chartFormat chart="0" format="193" series="1">
      <pivotArea type="data" outline="0" fieldPosition="0">
        <references count="1">
          <reference field="4294967294" count="1" selected="0">
            <x v="0"/>
          </reference>
        </references>
      </pivotArea>
    </chartFormat>
  </chartFormats>
  <pivotTableStyleInfo name="PivotStyleLight16"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425A565-D3F4-45F6-8981-444C398FBFD2}" name="Tabela dinâmica12" cacheId="3" applyNumberFormats="0" applyBorderFormats="0" applyFontFormats="0" applyPatternFormats="0" applyAlignmentFormats="0" applyWidthHeightFormats="1" dataCaption="Valores" updatedVersion="8" minRefreshableVersion="3" useAutoFormatting="1" rowGrandTotals="0" colGrandTotals="0" itemPrintTitles="1" createdVersion="8" indent="0" outline="1" outlineData="1" multipleFieldFilters="0" chartFormat="28">
  <location ref="A62:B75" firstHeaderRow="1" firstDataRow="1" firstDataCol="1"/>
  <pivotFields count="16">
    <pivotField numFmtId="14" showAll="0">
      <items count="182">
        <item x="1"/>
        <item x="3"/>
        <item x="5"/>
        <item x="2"/>
        <item x="11"/>
        <item x="10"/>
        <item x="6"/>
        <item x="8"/>
        <item x="0"/>
        <item x="4"/>
        <item x="7"/>
        <item x="9"/>
        <item x="22"/>
        <item x="21"/>
        <item x="15"/>
        <item x="14"/>
        <item x="19"/>
        <item x="20"/>
        <item x="25"/>
        <item x="16"/>
        <item x="23"/>
        <item x="12"/>
        <item x="24"/>
        <item x="13"/>
        <item x="18"/>
        <item x="17"/>
        <item x="31"/>
        <item x="29"/>
        <item x="32"/>
        <item x="38"/>
        <item x="27"/>
        <item x="34"/>
        <item x="26"/>
        <item x="33"/>
        <item x="41"/>
        <item x="37"/>
        <item x="36"/>
        <item x="43"/>
        <item x="42"/>
        <item x="35"/>
        <item x="28"/>
        <item x="40"/>
        <item x="39"/>
        <item x="30"/>
        <item x="46"/>
        <item x="52"/>
        <item x="54"/>
        <item x="51"/>
        <item x="56"/>
        <item x="47"/>
        <item x="50"/>
        <item x="48"/>
        <item x="57"/>
        <item x="49"/>
        <item x="55"/>
        <item x="45"/>
        <item x="53"/>
        <item x="44"/>
        <item x="65"/>
        <item x="63"/>
        <item x="64"/>
        <item x="58"/>
        <item x="62"/>
        <item x="59"/>
        <item x="68"/>
        <item x="67"/>
        <item x="66"/>
        <item x="60"/>
        <item x="69"/>
        <item x="61"/>
        <item x="80"/>
        <item x="76"/>
        <item x="78"/>
        <item x="74"/>
        <item x="81"/>
        <item x="72"/>
        <item x="73"/>
        <item x="75"/>
        <item x="70"/>
        <item x="71"/>
        <item x="82"/>
        <item x="77"/>
        <item x="79"/>
        <item x="89"/>
        <item x="83"/>
        <item x="97"/>
        <item x="87"/>
        <item x="92"/>
        <item x="96"/>
        <item x="99"/>
        <item x="90"/>
        <item x="91"/>
        <item x="100"/>
        <item x="88"/>
        <item x="93"/>
        <item x="98"/>
        <item x="84"/>
        <item x="95"/>
        <item x="85"/>
        <item x="94"/>
        <item x="86"/>
        <item x="106"/>
        <item x="108"/>
        <item x="109"/>
        <item x="103"/>
        <item x="107"/>
        <item x="117"/>
        <item x="121"/>
        <item x="110"/>
        <item x="118"/>
        <item x="105"/>
        <item x="115"/>
        <item x="114"/>
        <item x="119"/>
        <item x="111"/>
        <item x="101"/>
        <item x="112"/>
        <item x="113"/>
        <item x="104"/>
        <item x="120"/>
        <item x="116"/>
        <item x="102"/>
        <item x="131"/>
        <item x="122"/>
        <item x="130"/>
        <item x="127"/>
        <item x="123"/>
        <item x="124"/>
        <item x="125"/>
        <item x="132"/>
        <item x="129"/>
        <item x="133"/>
        <item x="128"/>
        <item x="126"/>
        <item x="144"/>
        <item x="138"/>
        <item x="136"/>
        <item x="141"/>
        <item x="140"/>
        <item x="135"/>
        <item x="143"/>
        <item x="139"/>
        <item x="142"/>
        <item x="137"/>
        <item x="134"/>
        <item x="151"/>
        <item x="157"/>
        <item x="148"/>
        <item x="165"/>
        <item x="156"/>
        <item x="149"/>
        <item x="160"/>
        <item x="158"/>
        <item x="161"/>
        <item x="164"/>
        <item x="150"/>
        <item x="155"/>
        <item x="153"/>
        <item x="167"/>
        <item x="159"/>
        <item x="146"/>
        <item x="166"/>
        <item x="145"/>
        <item x="147"/>
        <item x="152"/>
        <item x="163"/>
        <item x="154"/>
        <item x="162"/>
        <item x="168"/>
        <item x="174"/>
        <item x="178"/>
        <item x="177"/>
        <item x="171"/>
        <item x="179"/>
        <item x="180"/>
        <item x="175"/>
        <item x="169"/>
        <item x="170"/>
        <item x="172"/>
        <item x="176"/>
        <item x="173"/>
        <item t="default"/>
      </items>
    </pivotField>
    <pivotField dataField="1" showAll="0">
      <items count="13">
        <item x="0"/>
        <item x="1"/>
        <item x="2"/>
        <item x="3"/>
        <item x="4"/>
        <item x="5"/>
        <item x="6"/>
        <item x="7"/>
        <item x="8"/>
        <item x="9"/>
        <item x="10"/>
        <item x="11"/>
        <item t="default"/>
      </items>
    </pivotField>
    <pivotField showAll="0">
      <items count="7">
        <item x="3"/>
        <item x="1"/>
        <item x="5"/>
        <item x="2"/>
        <item x="0"/>
        <item x="4"/>
        <item t="default"/>
      </items>
    </pivotField>
    <pivotField showAll="0">
      <items count="7">
        <item x="0"/>
        <item x="5"/>
        <item x="4"/>
        <item x="3"/>
        <item x="1"/>
        <item x="2"/>
        <item t="default"/>
      </items>
    </pivotField>
    <pivotField showAll="0"/>
    <pivotField showAll="0">
      <items count="9">
        <item x="4"/>
        <item x="1"/>
        <item x="5"/>
        <item x="3"/>
        <item x="0"/>
        <item x="7"/>
        <item x="6"/>
        <item x="2"/>
        <item t="default"/>
      </items>
    </pivotField>
    <pivotField axis="axisRow" showAll="0">
      <items count="14">
        <item x="11"/>
        <item x="4"/>
        <item x="0"/>
        <item x="6"/>
        <item x="7"/>
        <item x="9"/>
        <item x="8"/>
        <item x="3"/>
        <item x="12"/>
        <item x="5"/>
        <item x="10"/>
        <item x="1"/>
        <item x="2"/>
        <item t="default"/>
      </items>
    </pivotField>
    <pivotField showAll="0"/>
    <pivotField numFmtId="1" showAll="0"/>
    <pivotField numFmtId="1" showAll="0"/>
    <pivotField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6"/>
  </rowFields>
  <rowItems count="13">
    <i>
      <x/>
    </i>
    <i>
      <x v="1"/>
    </i>
    <i>
      <x v="2"/>
    </i>
    <i>
      <x v="3"/>
    </i>
    <i>
      <x v="4"/>
    </i>
    <i>
      <x v="5"/>
    </i>
    <i>
      <x v="6"/>
    </i>
    <i>
      <x v="7"/>
    </i>
    <i>
      <x v="8"/>
    </i>
    <i>
      <x v="9"/>
    </i>
    <i>
      <x v="10"/>
    </i>
    <i>
      <x v="11"/>
    </i>
    <i>
      <x v="12"/>
    </i>
  </rowItems>
  <colItems count="1">
    <i/>
  </colItems>
  <dataFields count="1">
    <dataField name="Contagem de Manifestações" fld="1" subtotal="count" baseField="0" baseItem="0"/>
  </dataFields>
  <formats count="10">
    <format dxfId="437">
      <pivotArea type="all" dataOnly="0" outline="0" fieldPosition="0"/>
    </format>
    <format dxfId="436">
      <pivotArea outline="0" collapsedLevelsAreSubtotals="1" fieldPosition="0"/>
    </format>
    <format dxfId="435">
      <pivotArea field="6" type="button" dataOnly="0" labelOnly="1" outline="0" axis="axisRow" fieldPosition="0"/>
    </format>
    <format dxfId="434">
      <pivotArea dataOnly="0" labelOnly="1" fieldPosition="0">
        <references count="1">
          <reference field="6" count="6">
            <x v="1"/>
            <x v="2"/>
            <x v="7"/>
            <x v="9"/>
            <x v="10"/>
            <x v="12"/>
          </reference>
        </references>
      </pivotArea>
    </format>
    <format dxfId="433">
      <pivotArea dataOnly="0" labelOnly="1" outline="0" axis="axisValues" fieldPosition="0"/>
    </format>
    <format dxfId="384">
      <pivotArea type="all" dataOnly="0" outline="0" fieldPosition="0"/>
    </format>
    <format dxfId="383">
      <pivotArea outline="0" collapsedLevelsAreSubtotals="1" fieldPosition="0"/>
    </format>
    <format dxfId="382">
      <pivotArea field="6" type="button" dataOnly="0" labelOnly="1" outline="0" axis="axisRow" fieldPosition="0"/>
    </format>
    <format dxfId="381">
      <pivotArea dataOnly="0" labelOnly="1" fieldPosition="0">
        <references count="1">
          <reference field="6" count="6">
            <x v="1"/>
            <x v="2"/>
            <x v="7"/>
            <x v="9"/>
            <x v="10"/>
            <x v="12"/>
          </reference>
        </references>
      </pivotArea>
    </format>
    <format dxfId="380">
      <pivotArea dataOnly="0" labelOnly="1" outline="0" axis="axisValues" fieldPosition="0"/>
    </format>
  </formats>
  <chartFormats count="2">
    <chartFormat chart="12" format="2"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251D7A2-8B6A-466A-BADD-9E55ACEDA4AB}" name="Tabela dinâmica11" cacheId="3" applyNumberFormats="0" applyBorderFormats="0" applyFontFormats="0" applyPatternFormats="0" applyAlignmentFormats="0" applyWidthHeightFormats="1" dataCaption="Valores" updatedVersion="8" minRefreshableVersion="3" useAutoFormatting="1" rowGrandTotals="0" colGrandTotals="0" itemPrintTitles="1" createdVersion="8" indent="0" outline="1" outlineData="1" multipleFieldFilters="0" chartFormat="25" rowHeaderCaption="Tipo de manifestação">
  <location ref="A40:B46" firstHeaderRow="1" firstDataRow="1" firstDataCol="1"/>
  <pivotFields count="16">
    <pivotField numFmtId="14" showAll="0">
      <items count="182">
        <item x="1"/>
        <item x="3"/>
        <item x="5"/>
        <item x="2"/>
        <item x="11"/>
        <item x="10"/>
        <item x="6"/>
        <item x="8"/>
        <item x="0"/>
        <item x="4"/>
        <item x="7"/>
        <item x="9"/>
        <item x="22"/>
        <item x="21"/>
        <item x="15"/>
        <item x="14"/>
        <item x="19"/>
        <item x="20"/>
        <item x="25"/>
        <item x="16"/>
        <item x="23"/>
        <item x="12"/>
        <item x="24"/>
        <item x="13"/>
        <item x="18"/>
        <item x="17"/>
        <item x="31"/>
        <item x="29"/>
        <item x="32"/>
        <item x="38"/>
        <item x="27"/>
        <item x="34"/>
        <item x="26"/>
        <item x="33"/>
        <item x="41"/>
        <item x="37"/>
        <item x="36"/>
        <item x="43"/>
        <item x="42"/>
        <item x="35"/>
        <item x="28"/>
        <item x="40"/>
        <item x="39"/>
        <item x="30"/>
        <item x="46"/>
        <item x="52"/>
        <item x="54"/>
        <item x="51"/>
        <item x="56"/>
        <item x="47"/>
        <item x="50"/>
        <item x="48"/>
        <item x="57"/>
        <item x="49"/>
        <item x="55"/>
        <item x="45"/>
        <item x="53"/>
        <item x="44"/>
        <item x="65"/>
        <item x="63"/>
        <item x="64"/>
        <item x="58"/>
        <item x="62"/>
        <item x="59"/>
        <item x="68"/>
        <item x="67"/>
        <item x="66"/>
        <item x="60"/>
        <item x="69"/>
        <item x="61"/>
        <item x="80"/>
        <item x="76"/>
        <item x="78"/>
        <item x="74"/>
        <item x="81"/>
        <item x="72"/>
        <item x="73"/>
        <item x="75"/>
        <item x="70"/>
        <item x="71"/>
        <item x="82"/>
        <item x="77"/>
        <item x="79"/>
        <item x="89"/>
        <item x="83"/>
        <item x="97"/>
        <item x="87"/>
        <item x="92"/>
        <item x="96"/>
        <item x="99"/>
        <item x="90"/>
        <item x="91"/>
        <item x="100"/>
        <item x="88"/>
        <item x="93"/>
        <item x="98"/>
        <item x="84"/>
        <item x="95"/>
        <item x="85"/>
        <item x="94"/>
        <item x="86"/>
        <item x="106"/>
        <item x="108"/>
        <item x="109"/>
        <item x="103"/>
        <item x="107"/>
        <item x="117"/>
        <item x="121"/>
        <item x="110"/>
        <item x="118"/>
        <item x="105"/>
        <item x="115"/>
        <item x="114"/>
        <item x="119"/>
        <item x="111"/>
        <item x="101"/>
        <item x="112"/>
        <item x="113"/>
        <item x="104"/>
        <item x="120"/>
        <item x="116"/>
        <item x="102"/>
        <item x="131"/>
        <item x="122"/>
        <item x="130"/>
        <item x="127"/>
        <item x="123"/>
        <item x="124"/>
        <item x="125"/>
        <item x="132"/>
        <item x="129"/>
        <item x="133"/>
        <item x="128"/>
        <item x="126"/>
        <item x="144"/>
        <item x="138"/>
        <item x="136"/>
        <item x="141"/>
        <item x="140"/>
        <item x="135"/>
        <item x="143"/>
        <item x="139"/>
        <item x="142"/>
        <item x="137"/>
        <item x="134"/>
        <item x="151"/>
        <item x="157"/>
        <item x="148"/>
        <item x="165"/>
        <item x="156"/>
        <item x="149"/>
        <item x="160"/>
        <item x="158"/>
        <item x="161"/>
        <item x="164"/>
        <item x="150"/>
        <item x="155"/>
        <item x="153"/>
        <item x="167"/>
        <item x="159"/>
        <item x="146"/>
        <item x="166"/>
        <item x="145"/>
        <item x="147"/>
        <item x="152"/>
        <item x="163"/>
        <item x="154"/>
        <item x="162"/>
        <item x="168"/>
        <item x="174"/>
        <item x="178"/>
        <item x="177"/>
        <item x="171"/>
        <item x="179"/>
        <item x="180"/>
        <item x="175"/>
        <item x="169"/>
        <item x="170"/>
        <item x="172"/>
        <item x="176"/>
        <item x="173"/>
        <item t="default"/>
      </items>
    </pivotField>
    <pivotField dataField="1" showAll="0">
      <items count="13">
        <item x="0"/>
        <item x="1"/>
        <item x="2"/>
        <item x="3"/>
        <item x="4"/>
        <item x="5"/>
        <item x="6"/>
        <item x="7"/>
        <item x="8"/>
        <item x="9"/>
        <item x="10"/>
        <item x="11"/>
        <item t="default"/>
      </items>
    </pivotField>
    <pivotField showAll="0">
      <items count="7">
        <item x="3"/>
        <item x="1"/>
        <item x="5"/>
        <item x="2"/>
        <item x="0"/>
        <item x="4"/>
        <item t="default"/>
      </items>
    </pivotField>
    <pivotField axis="axisRow" showAll="0">
      <items count="7">
        <item x="0"/>
        <item x="5"/>
        <item x="4"/>
        <item x="3"/>
        <item x="1"/>
        <item x="2"/>
        <item t="default"/>
      </items>
    </pivotField>
    <pivotField showAll="0"/>
    <pivotField showAll="0">
      <items count="9">
        <item x="4"/>
        <item x="1"/>
        <item x="5"/>
        <item x="3"/>
        <item x="0"/>
        <item x="7"/>
        <item x="6"/>
        <item x="2"/>
        <item t="default"/>
      </items>
    </pivotField>
    <pivotField showAll="0">
      <items count="14">
        <item x="11"/>
        <item x="4"/>
        <item x="0"/>
        <item x="6"/>
        <item x="7"/>
        <item x="9"/>
        <item x="8"/>
        <item x="3"/>
        <item x="12"/>
        <item x="5"/>
        <item x="10"/>
        <item x="1"/>
        <item x="2"/>
        <item t="default"/>
      </items>
    </pivotField>
    <pivotField showAll="0"/>
    <pivotField numFmtId="1" showAll="0"/>
    <pivotField numFmtId="1" showAll="0"/>
    <pivotField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3"/>
  </rowFields>
  <rowItems count="6">
    <i>
      <x/>
    </i>
    <i>
      <x v="1"/>
    </i>
    <i>
      <x v="2"/>
    </i>
    <i>
      <x v="3"/>
    </i>
    <i>
      <x v="4"/>
    </i>
    <i>
      <x v="5"/>
    </i>
  </rowItems>
  <colItems count="1">
    <i/>
  </colItems>
  <dataFields count="1">
    <dataField name="Quantia" fld="1" subtotal="count" baseField="3" baseItem="0"/>
  </dataFields>
  <formats count="11">
    <format dxfId="493">
      <pivotArea dataOnly="0" labelOnly="1" outline="0" axis="axisValues" fieldPosition="0"/>
    </format>
    <format dxfId="431">
      <pivotArea type="all" dataOnly="0" outline="0" fieldPosition="0"/>
    </format>
    <format dxfId="430">
      <pivotArea outline="0" collapsedLevelsAreSubtotals="1" fieldPosition="0"/>
    </format>
    <format dxfId="429">
      <pivotArea field="3" type="button" dataOnly="0" labelOnly="1" outline="0" axis="axisRow" fieldPosition="0"/>
    </format>
    <format dxfId="428">
      <pivotArea dataOnly="0" labelOnly="1" fieldPosition="0">
        <references count="1">
          <reference field="3" count="0"/>
        </references>
      </pivotArea>
    </format>
    <format dxfId="427">
      <pivotArea dataOnly="0" labelOnly="1" outline="0" axis="axisValues" fieldPosition="0"/>
    </format>
    <format dxfId="378">
      <pivotArea type="all" dataOnly="0" outline="0" fieldPosition="0"/>
    </format>
    <format dxfId="377">
      <pivotArea outline="0" collapsedLevelsAreSubtotals="1" fieldPosition="0"/>
    </format>
    <format dxfId="376">
      <pivotArea field="3" type="button" dataOnly="0" labelOnly="1" outline="0" axis="axisRow" fieldPosition="0"/>
    </format>
    <format dxfId="375">
      <pivotArea dataOnly="0" labelOnly="1" fieldPosition="0">
        <references count="1">
          <reference field="3" count="0"/>
        </references>
      </pivotArea>
    </format>
    <format dxfId="374">
      <pivotArea dataOnly="0" labelOnly="1" outline="0" axis="axisValues" fieldPosition="0"/>
    </format>
  </formats>
  <chartFormats count="8">
    <chartFormat chart="10" format="14" series="1">
      <pivotArea type="data" outline="0" fieldPosition="0">
        <references count="1">
          <reference field="4294967294" count="1" selected="0">
            <x v="0"/>
          </reference>
        </references>
      </pivotArea>
    </chartFormat>
    <chartFormat chart="10" format="15">
      <pivotArea type="data" outline="0" fieldPosition="0">
        <references count="2">
          <reference field="4294967294" count="1" selected="0">
            <x v="0"/>
          </reference>
          <reference field="3" count="1" selected="0">
            <x v="0"/>
          </reference>
        </references>
      </pivotArea>
    </chartFormat>
    <chartFormat chart="10" format="16">
      <pivotArea type="data" outline="0" fieldPosition="0">
        <references count="2">
          <reference field="4294967294" count="1" selected="0">
            <x v="0"/>
          </reference>
          <reference field="3" count="1" selected="0">
            <x v="1"/>
          </reference>
        </references>
      </pivotArea>
    </chartFormat>
    <chartFormat chart="10" format="17">
      <pivotArea type="data" outline="0" fieldPosition="0">
        <references count="2">
          <reference field="4294967294" count="1" selected="0">
            <x v="0"/>
          </reference>
          <reference field="3" count="1" selected="0">
            <x v="2"/>
          </reference>
        </references>
      </pivotArea>
    </chartFormat>
    <chartFormat chart="10" format="18">
      <pivotArea type="data" outline="0" fieldPosition="0">
        <references count="2">
          <reference field="4294967294" count="1" selected="0">
            <x v="0"/>
          </reference>
          <reference field="3" count="1" selected="0">
            <x v="3"/>
          </reference>
        </references>
      </pivotArea>
    </chartFormat>
    <chartFormat chart="10" format="19">
      <pivotArea type="data" outline="0" fieldPosition="0">
        <references count="2">
          <reference field="4294967294" count="1" selected="0">
            <x v="0"/>
          </reference>
          <reference field="3" count="1" selected="0">
            <x v="4"/>
          </reference>
        </references>
      </pivotArea>
    </chartFormat>
    <chartFormat chart="10" format="20">
      <pivotArea type="data" outline="0" fieldPosition="0">
        <references count="2">
          <reference field="4294967294" count="1" selected="0">
            <x v="0"/>
          </reference>
          <reference field="3" count="1" selected="0">
            <x v="5"/>
          </reference>
        </references>
      </pivotArea>
    </chartFormat>
    <chartFormat chart="5"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5F7EB56-5E06-4689-AA2E-D1BEA6C91266}" name="Tabela dinâmica21" cacheId="3"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14">
  <location ref="A114:A115" firstHeaderRow="1" firstDataRow="1" firstDataCol="0"/>
  <pivotFields count="16">
    <pivotField numFmtId="14" showAll="0" avgSubtotal="1">
      <items count="182">
        <item x="1"/>
        <item x="3"/>
        <item x="5"/>
        <item x="2"/>
        <item x="11"/>
        <item x="10"/>
        <item x="6"/>
        <item x="8"/>
        <item x="0"/>
        <item x="4"/>
        <item x="7"/>
        <item x="9"/>
        <item x="22"/>
        <item x="21"/>
        <item x="15"/>
        <item x="14"/>
        <item x="19"/>
        <item x="20"/>
        <item x="25"/>
        <item x="16"/>
        <item x="23"/>
        <item x="12"/>
        <item x="24"/>
        <item x="13"/>
        <item x="18"/>
        <item x="17"/>
        <item x="31"/>
        <item x="29"/>
        <item x="32"/>
        <item x="38"/>
        <item x="27"/>
        <item x="34"/>
        <item x="26"/>
        <item x="33"/>
        <item x="41"/>
        <item x="37"/>
        <item x="36"/>
        <item x="43"/>
        <item x="42"/>
        <item x="35"/>
        <item x="28"/>
        <item x="40"/>
        <item x="39"/>
        <item x="30"/>
        <item x="46"/>
        <item x="52"/>
        <item x="54"/>
        <item x="51"/>
        <item x="56"/>
        <item x="47"/>
        <item x="50"/>
        <item x="48"/>
        <item x="57"/>
        <item x="49"/>
        <item x="55"/>
        <item x="45"/>
        <item x="53"/>
        <item x="44"/>
        <item x="65"/>
        <item x="63"/>
        <item x="64"/>
        <item x="58"/>
        <item x="62"/>
        <item x="59"/>
        <item x="68"/>
        <item x="67"/>
        <item x="66"/>
        <item x="60"/>
        <item x="69"/>
        <item x="61"/>
        <item x="80"/>
        <item x="76"/>
        <item x="78"/>
        <item x="74"/>
        <item x="81"/>
        <item x="72"/>
        <item x="73"/>
        <item x="75"/>
        <item x="70"/>
        <item x="71"/>
        <item x="82"/>
        <item x="77"/>
        <item x="79"/>
        <item x="89"/>
        <item x="83"/>
        <item x="97"/>
        <item x="87"/>
        <item x="92"/>
        <item x="96"/>
        <item x="99"/>
        <item x="90"/>
        <item x="91"/>
        <item x="100"/>
        <item x="88"/>
        <item x="93"/>
        <item x="98"/>
        <item x="84"/>
        <item x="95"/>
        <item x="85"/>
        <item x="94"/>
        <item x="86"/>
        <item x="106"/>
        <item x="108"/>
        <item x="109"/>
        <item x="103"/>
        <item x="107"/>
        <item x="117"/>
        <item x="121"/>
        <item x="110"/>
        <item x="118"/>
        <item x="105"/>
        <item x="115"/>
        <item x="114"/>
        <item x="119"/>
        <item x="111"/>
        <item x="101"/>
        <item x="112"/>
        <item x="113"/>
        <item x="104"/>
        <item x="120"/>
        <item x="116"/>
        <item x="102"/>
        <item x="131"/>
        <item x="122"/>
        <item x="130"/>
        <item x="127"/>
        <item x="123"/>
        <item x="124"/>
        <item x="125"/>
        <item x="132"/>
        <item x="129"/>
        <item x="133"/>
        <item x="128"/>
        <item x="126"/>
        <item x="144"/>
        <item x="138"/>
        <item x="136"/>
        <item x="141"/>
        <item x="140"/>
        <item x="135"/>
        <item x="143"/>
        <item x="139"/>
        <item x="142"/>
        <item x="137"/>
        <item x="134"/>
        <item x="151"/>
        <item x="157"/>
        <item x="148"/>
        <item x="165"/>
        <item x="156"/>
        <item x="149"/>
        <item x="160"/>
        <item x="158"/>
        <item x="161"/>
        <item x="164"/>
        <item x="150"/>
        <item x="155"/>
        <item x="153"/>
        <item x="167"/>
        <item x="159"/>
        <item x="146"/>
        <item x="166"/>
        <item x="145"/>
        <item x="147"/>
        <item x="152"/>
        <item x="163"/>
        <item x="154"/>
        <item x="162"/>
        <item x="168"/>
        <item x="174"/>
        <item x="178"/>
        <item x="177"/>
        <item x="171"/>
        <item x="179"/>
        <item x="180"/>
        <item x="175"/>
        <item x="169"/>
        <item x="170"/>
        <item x="172"/>
        <item x="176"/>
        <item x="173"/>
        <item t="avg"/>
      </items>
    </pivotField>
    <pivotField showAll="0">
      <items count="13">
        <item x="0"/>
        <item x="1"/>
        <item x="2"/>
        <item x="3"/>
        <item x="4"/>
        <item x="5"/>
        <item x="6"/>
        <item x="7"/>
        <item x="8"/>
        <item x="9"/>
        <item x="10"/>
        <item x="11"/>
        <item t="default"/>
      </items>
    </pivotField>
    <pivotField multipleItemSelectionAllowed="1" showAll="0" avgSubtotal="1">
      <items count="7">
        <item x="3"/>
        <item x="1"/>
        <item x="5"/>
        <item x="2"/>
        <item x="0"/>
        <item x="4"/>
        <item t="avg"/>
      </items>
    </pivotField>
    <pivotField multipleItemSelectionAllowed="1" showAll="0">
      <items count="7">
        <item x="0"/>
        <item x="5"/>
        <item x="4"/>
        <item x="3"/>
        <item x="1"/>
        <item x="2"/>
        <item t="default"/>
      </items>
    </pivotField>
    <pivotField showAll="0"/>
    <pivotField showAll="0">
      <items count="9">
        <item x="4"/>
        <item x="1"/>
        <item x="5"/>
        <item x="3"/>
        <item x="0"/>
        <item x="7"/>
        <item x="6"/>
        <item x="2"/>
        <item t="default"/>
      </items>
    </pivotField>
    <pivotField showAll="0">
      <items count="14">
        <item x="11"/>
        <item x="4"/>
        <item x="0"/>
        <item x="6"/>
        <item x="7"/>
        <item x="9"/>
        <item x="8"/>
        <item x="3"/>
        <item x="12"/>
        <item x="5"/>
        <item x="10"/>
        <item x="1"/>
        <item x="2"/>
        <item t="default"/>
      </items>
    </pivotField>
    <pivotField multipleItemSelectionAllowed="1" showAll="0" countASubtotal="1"/>
    <pivotField dataField="1" numFmtId="1" multipleItemSelectionAllowed="1" showAll="0" countASubtotal="1" avgSubtotal="1">
      <items count="35">
        <item x="2"/>
        <item x="12"/>
        <item x="3"/>
        <item x="1"/>
        <item x="25"/>
        <item x="14"/>
        <item x="11"/>
        <item x="24"/>
        <item x="0"/>
        <item x="6"/>
        <item x="32"/>
        <item x="23"/>
        <item x="21"/>
        <item x="13"/>
        <item x="19"/>
        <item x="10"/>
        <item x="15"/>
        <item x="22"/>
        <item x="16"/>
        <item x="20"/>
        <item x="18"/>
        <item x="17"/>
        <item x="26"/>
        <item x="4"/>
        <item x="27"/>
        <item x="31"/>
        <item x="9"/>
        <item x="7"/>
        <item x="8"/>
        <item x="5"/>
        <item x="29"/>
        <item x="30"/>
        <item x="28"/>
        <item t="countA"/>
        <item t="avg"/>
      </items>
    </pivotField>
    <pivotField numFmtId="1" showAll="0">
      <items count="3">
        <item x="1"/>
        <item x="0"/>
        <item t="default"/>
      </items>
    </pivotField>
    <pivotField showAll="0"/>
    <pivotField showAll="0" countASubtotal="1"/>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Items count="1">
    <i/>
  </colItems>
  <dataFields count="1">
    <dataField name="Média de Dias Resposta" fld="8" subtotal="average" baseField="0" baseItem="0" numFmtId="1"/>
  </dataFields>
  <formats count="6">
    <format dxfId="425">
      <pivotArea type="all" dataOnly="0" outline="0" fieldPosition="0"/>
    </format>
    <format dxfId="424">
      <pivotArea outline="0" collapsedLevelsAreSubtotals="1" fieldPosition="0"/>
    </format>
    <format dxfId="423">
      <pivotArea dataOnly="0" labelOnly="1" outline="0" axis="axisValues" fieldPosition="0"/>
    </format>
    <format dxfId="372">
      <pivotArea type="all" dataOnly="0" outline="0" fieldPosition="0"/>
    </format>
    <format dxfId="371">
      <pivotArea outline="0" collapsedLevelsAreSubtotals="1" fieldPosition="0"/>
    </format>
    <format dxfId="37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ês" xr10:uid="{9C1D0365-9B2F-4339-93E8-1EBCEE5CAA35}" sourceName="Mês">
  <pivotTables>
    <pivotTable tabId="7" name="Tabela dinâmica8"/>
    <pivotTable tabId="7" name="Tabela dinâmica10"/>
    <pivotTable tabId="7" name="Tabela dinâmica11"/>
    <pivotTable tabId="7" name="Tabela dinâmica12"/>
    <pivotTable tabId="7" name="Tabela dinâmica17"/>
    <pivotTable tabId="7" name="Tabela dinâmica20"/>
    <pivotTable tabId="7" name="Tabela dinâmica21"/>
    <pivotTable tabId="7" name="Tabela dinâmica22"/>
    <pivotTable tabId="7" name="Tabela dinâmica23"/>
  </pivotTables>
  <data>
    <tabular pivotCacheId="612126718">
      <items count="12">
        <i x="0" s="1"/>
        <i x="1" s="1"/>
        <i x="2" s="1"/>
        <i x="3" s="1"/>
        <i x="4" s="1"/>
        <i x="5" s="1"/>
        <i x="6" s="1"/>
        <i x="7" s="1"/>
        <i x="8" s="1"/>
        <i x="9" s="1"/>
        <i x="10" s="1"/>
        <i x="1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po_Manifestação" xr10:uid="{B6E23E14-6A5B-4BF9-9B18-EA961FAB4811}" sourceName="Tipo_Manifestação">
  <pivotTables>
    <pivotTable tabId="7" name="Tabela dinâmica8"/>
    <pivotTable tabId="7" name="Tabela dinâmica10"/>
    <pivotTable tabId="7" name="Tabela dinâmica11"/>
    <pivotTable tabId="7" name="Tabela dinâmica12"/>
    <pivotTable tabId="7" name="Tabela dinâmica17"/>
    <pivotTable tabId="7" name="Tabela dinâmica20"/>
    <pivotTable tabId="7" name="Tabela dinâmica21"/>
    <pivotTable tabId="7" name="Tabela dinâmica22"/>
    <pivotTable tabId="7" name="Tabela dinâmica23"/>
  </pivotTables>
  <data>
    <tabular pivotCacheId="612126718">
      <items count="6">
        <i x="0" s="1"/>
        <i x="5" s="1"/>
        <i x="4" s="1"/>
        <i x="3"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tor_MMA" xr10:uid="{791F81C1-1006-4BBD-A202-B833B50D5AFA}" sourceName="Setor_MMA">
  <pivotTables>
    <pivotTable tabId="7" name="Tabela dinâmica8"/>
    <pivotTable tabId="7" name="Tabela dinâmica10"/>
    <pivotTable tabId="7" name="Tabela dinâmica11"/>
    <pivotTable tabId="7" name="Tabela dinâmica12"/>
    <pivotTable tabId="7" name="Tabela dinâmica17"/>
    <pivotTable tabId="7" name="Tabela dinâmica20"/>
    <pivotTable tabId="7" name="Tabela dinâmica21"/>
    <pivotTable tabId="7" name="Tabela dinâmica22"/>
    <pivotTable tabId="7" name="Tabela dinâmica23"/>
  </pivotTables>
  <data>
    <tabular pivotCacheId="612126718">
      <items count="8">
        <i x="4" s="1"/>
        <i x="1" s="1"/>
        <i x="5" s="1"/>
        <i x="3" s="1"/>
        <i x="0" s="1"/>
        <i x="7" s="1"/>
        <i x="6"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ês 1" xr10:uid="{132BEE77-191A-45DC-9CEF-329DD0CF062E}" cache="Slicer_Mês" caption="Mês" columnCount="3" style="SlicerStyleLight3 2" rowHeight="216000"/>
  <slicer name="Tipo_Manifestação 1" xr10:uid="{D11D56C4-C6F1-4681-89A1-E9638947D5FC}" cache="Slicer_Tipo_Manifestação" caption="Tipo de Manifestação" columnCount="2" style="SlicerStyleLight3 2" rowHeight="234950"/>
  <slicer name="Setor MMA" xr10:uid="{E3C17CE9-9FE1-4DBB-B673-877CADCEAB3E}" cache="Slicer_Setor_MMA" caption="Setor MMA" columnCount="2" style="SlicerStyleLight3 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BaseOuvidoria" displayName="BaseOuvidoria" ref="A1:M242" totalsRowCount="1">
  <autoFilter ref="A1:M241" xr:uid="{00000000-000C-0000-FFFF-FFFF00000000}"/>
  <sortState xmlns:xlrd2="http://schemas.microsoft.com/office/spreadsheetml/2017/richdata2" ref="A2:M241">
    <sortCondition ref="B2:B241" customList="jan,fev,mar,abr,mai,jun,jul,ago,set,out,nov,dez"/>
  </sortState>
  <tableColumns count="13">
    <tableColumn id="2" xr3:uid="{00000000-0010-0000-0000-000002000000}" name="Data_Entrada"/>
    <tableColumn id="4" xr3:uid="{00000000-0010-0000-0000-000004000000}" name="Mês" dataDxfId="489" totalsRowDxfId="0"/>
    <tableColumn id="5" xr3:uid="{00000000-0010-0000-0000-000005000000}" name="Canal"/>
    <tableColumn id="6" xr3:uid="{00000000-0010-0000-0000-000006000000}" name="Tipo_Manifestação"/>
    <tableColumn id="7" xr3:uid="{00000000-0010-0000-0000-000007000000}" name="Assunto"/>
    <tableColumn id="8" xr3:uid="{00000000-0010-0000-0000-000008000000}" name="Setor_MMA"/>
    <tableColumn id="9" xr3:uid="{00000000-0010-0000-0000-000009000000}" name="UF"/>
    <tableColumn id="10" xr3:uid="{00000000-0010-0000-0000-00000A000000}" name="Status"/>
    <tableColumn id="11" xr3:uid="{00000000-0010-0000-0000-00000B000000}" name="Dias_Resposta" totalsRowFunction="average" totalsRowDxfId="488"/>
    <tableColumn id="12" xr3:uid="{00000000-0010-0000-0000-00000C000000}" name="Prazo_Dias" totalsRowFunction="average" totalsRowDxfId="487"/>
    <tableColumn id="13" xr3:uid="{00000000-0010-0000-0000-00000D000000}" name="Dentro_do_Prazo"/>
    <tableColumn id="14" xr3:uid="{00000000-0010-0000-0000-00000E000000}" name="Prioridade"/>
    <tableColumn id="16" xr3:uid="{00000000-0010-0000-0000-000010000000}" name="Encaminhar_Para"/>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2.xml"/><Relationship Id="rId5" Type="http://schemas.openxmlformats.org/officeDocument/2006/relationships/pivotTable" Target="../pivotTables/pivotTable5.xml"/><Relationship Id="rId10" Type="http://schemas.openxmlformats.org/officeDocument/2006/relationships/printerSettings" Target="../printerSettings/printerSettings3.bin"/><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91"/>
  <sheetViews>
    <sheetView tabSelected="1" topLeftCell="F1" zoomScaleNormal="100" workbookViewId="0">
      <selection activeCell="O6" sqref="O6"/>
    </sheetView>
  </sheetViews>
  <sheetFormatPr defaultRowHeight="13.8"/>
  <cols>
    <col min="1" max="1" width="13" customWidth="1"/>
    <col min="2" max="2" width="11.69921875" style="14" customWidth="1"/>
    <col min="3" max="3" width="13" customWidth="1"/>
    <col min="4" max="4" width="18" customWidth="1"/>
    <col min="5" max="5" width="25" customWidth="1"/>
    <col min="6" max="6" width="24" customWidth="1"/>
    <col min="7" max="7" width="8" customWidth="1"/>
    <col min="8" max="8" width="18" customWidth="1"/>
    <col min="9" max="9" width="14" customWidth="1"/>
    <col min="10" max="10" width="12" customWidth="1"/>
    <col min="11" max="11" width="16" customWidth="1"/>
    <col min="12" max="12" width="12" customWidth="1"/>
    <col min="13" max="13" width="22" customWidth="1"/>
  </cols>
  <sheetData>
    <row r="1" spans="1:13" ht="32.1" customHeight="1">
      <c r="A1" s="10" t="s">
        <v>68</v>
      </c>
      <c r="B1" s="12" t="s">
        <v>69</v>
      </c>
      <c r="C1" s="10" t="s">
        <v>70</v>
      </c>
      <c r="D1" s="10" t="s">
        <v>71</v>
      </c>
      <c r="E1" s="10" t="s">
        <v>72</v>
      </c>
      <c r="F1" s="10" t="s">
        <v>73</v>
      </c>
      <c r="G1" s="10" t="s">
        <v>74</v>
      </c>
      <c r="H1" s="10" t="s">
        <v>75</v>
      </c>
      <c r="I1" s="10" t="s">
        <v>76</v>
      </c>
      <c r="J1" s="10" t="s">
        <v>77</v>
      </c>
      <c r="K1" s="10" t="s">
        <v>78</v>
      </c>
      <c r="L1" s="10" t="s">
        <v>79</v>
      </c>
      <c r="M1" s="10" t="s">
        <v>80</v>
      </c>
    </row>
    <row r="2" spans="1:13">
      <c r="A2" s="2">
        <v>45683</v>
      </c>
      <c r="B2" s="13" t="s">
        <v>81</v>
      </c>
      <c r="C2" s="1" t="s">
        <v>82</v>
      </c>
      <c r="D2" s="1" t="s">
        <v>28</v>
      </c>
      <c r="E2" s="1" t="s">
        <v>21</v>
      </c>
      <c r="F2" s="1" t="s">
        <v>59</v>
      </c>
      <c r="G2" s="1" t="s">
        <v>37</v>
      </c>
      <c r="H2" s="1" t="s">
        <v>51</v>
      </c>
      <c r="I2" s="3">
        <v>9</v>
      </c>
      <c r="J2" s="3">
        <v>30</v>
      </c>
      <c r="K2" s="1" t="s">
        <v>66</v>
      </c>
      <c r="L2" s="1" t="s">
        <v>83</v>
      </c>
      <c r="M2" s="1" t="s">
        <v>84</v>
      </c>
    </row>
    <row r="3" spans="1:13">
      <c r="A3" s="2">
        <v>45659</v>
      </c>
      <c r="B3" s="13" t="s">
        <v>81</v>
      </c>
      <c r="C3" s="1" t="s">
        <v>85</v>
      </c>
      <c r="D3" s="1" t="s">
        <v>32</v>
      </c>
      <c r="E3" s="1" t="s">
        <v>15</v>
      </c>
      <c r="F3" s="1" t="s">
        <v>56</v>
      </c>
      <c r="G3" s="1" t="s">
        <v>46</v>
      </c>
      <c r="H3" s="1" t="s">
        <v>51</v>
      </c>
      <c r="I3" s="3">
        <v>4</v>
      </c>
      <c r="J3" s="3">
        <v>20</v>
      </c>
      <c r="K3" s="1" t="s">
        <v>66</v>
      </c>
      <c r="L3" s="1" t="s">
        <v>86</v>
      </c>
      <c r="M3" s="1" t="s">
        <v>87</v>
      </c>
    </row>
    <row r="4" spans="1:13">
      <c r="A4" s="2">
        <v>45670</v>
      </c>
      <c r="B4" s="13" t="s">
        <v>81</v>
      </c>
      <c r="C4" s="1" t="s">
        <v>88</v>
      </c>
      <c r="D4" s="1" t="s">
        <v>28</v>
      </c>
      <c r="E4" s="1" t="s">
        <v>20</v>
      </c>
      <c r="F4" s="1" t="s">
        <v>62</v>
      </c>
      <c r="G4" s="1" t="s">
        <v>47</v>
      </c>
      <c r="H4" s="1" t="s">
        <v>52</v>
      </c>
      <c r="I4" s="3">
        <v>1</v>
      </c>
      <c r="J4" s="3">
        <v>30</v>
      </c>
      <c r="K4" s="1" t="s">
        <v>66</v>
      </c>
      <c r="L4" s="1" t="s">
        <v>86</v>
      </c>
      <c r="M4" s="1" t="s">
        <v>89</v>
      </c>
    </row>
    <row r="5" spans="1:13">
      <c r="A5" s="2">
        <v>45683</v>
      </c>
      <c r="B5" s="13" t="s">
        <v>81</v>
      </c>
      <c r="C5" s="1" t="s">
        <v>85</v>
      </c>
      <c r="D5" s="1" t="s">
        <v>33</v>
      </c>
      <c r="E5" s="1" t="s">
        <v>23</v>
      </c>
      <c r="F5" s="1" t="s">
        <v>62</v>
      </c>
      <c r="G5" s="1" t="s">
        <v>37</v>
      </c>
      <c r="H5" s="1" t="s">
        <v>53</v>
      </c>
      <c r="I5" s="3">
        <v>3</v>
      </c>
      <c r="J5" s="3">
        <v>20</v>
      </c>
      <c r="K5" s="1" t="s">
        <v>66</v>
      </c>
      <c r="L5" s="1" t="s">
        <v>90</v>
      </c>
      <c r="M5" s="1" t="s">
        <v>91</v>
      </c>
    </row>
    <row r="6" spans="1:13" ht="27.6">
      <c r="A6" s="2">
        <v>45661</v>
      </c>
      <c r="B6" s="13" t="s">
        <v>81</v>
      </c>
      <c r="C6" s="1" t="s">
        <v>92</v>
      </c>
      <c r="D6" s="1" t="s">
        <v>31</v>
      </c>
      <c r="E6" s="1" t="s">
        <v>23</v>
      </c>
      <c r="F6" s="1" t="s">
        <v>62</v>
      </c>
      <c r="G6" s="1" t="s">
        <v>42</v>
      </c>
      <c r="H6" s="1" t="s">
        <v>49</v>
      </c>
      <c r="I6" s="3">
        <v>23</v>
      </c>
      <c r="J6" s="3">
        <v>20</v>
      </c>
      <c r="K6" s="1" t="s">
        <v>65</v>
      </c>
      <c r="L6" s="1" t="s">
        <v>86</v>
      </c>
      <c r="M6" s="1" t="s">
        <v>89</v>
      </c>
    </row>
    <row r="7" spans="1:13" ht="27.6">
      <c r="A7" s="2">
        <v>45686</v>
      </c>
      <c r="B7" s="13" t="s">
        <v>81</v>
      </c>
      <c r="C7" s="1" t="s">
        <v>85</v>
      </c>
      <c r="D7" s="1" t="s">
        <v>31</v>
      </c>
      <c r="E7" s="1" t="s">
        <v>25</v>
      </c>
      <c r="F7" s="1" t="s">
        <v>58</v>
      </c>
      <c r="G7" s="1" t="s">
        <v>37</v>
      </c>
      <c r="H7" s="1" t="s">
        <v>49</v>
      </c>
      <c r="I7" s="3">
        <v>33</v>
      </c>
      <c r="J7" s="3">
        <v>20</v>
      </c>
      <c r="K7" s="1" t="s">
        <v>65</v>
      </c>
      <c r="L7" s="1" t="s">
        <v>83</v>
      </c>
      <c r="M7" s="1" t="s">
        <v>84</v>
      </c>
    </row>
    <row r="8" spans="1:13">
      <c r="A8" s="2">
        <v>45683</v>
      </c>
      <c r="B8" s="13" t="s">
        <v>81</v>
      </c>
      <c r="C8" s="1" t="s">
        <v>93</v>
      </c>
      <c r="D8" s="1" t="s">
        <v>32</v>
      </c>
      <c r="E8" s="1" t="s">
        <v>21</v>
      </c>
      <c r="F8" s="1" t="s">
        <v>56</v>
      </c>
      <c r="G8" s="1" t="s">
        <v>36</v>
      </c>
      <c r="H8" s="1" t="s">
        <v>51</v>
      </c>
      <c r="I8" s="3">
        <v>10</v>
      </c>
      <c r="J8" s="3">
        <v>20</v>
      </c>
      <c r="K8" s="1" t="s">
        <v>66</v>
      </c>
      <c r="L8" s="1" t="s">
        <v>90</v>
      </c>
      <c r="M8" s="1" t="s">
        <v>94</v>
      </c>
    </row>
    <row r="9" spans="1:13">
      <c r="A9" s="2">
        <v>45669</v>
      </c>
      <c r="B9" s="13" t="s">
        <v>81</v>
      </c>
      <c r="C9" s="1" t="s">
        <v>95</v>
      </c>
      <c r="D9" s="1" t="s">
        <v>31</v>
      </c>
      <c r="E9" s="1" t="s">
        <v>17</v>
      </c>
      <c r="F9" s="1" t="s">
        <v>55</v>
      </c>
      <c r="G9" s="1" t="s">
        <v>37</v>
      </c>
      <c r="H9" s="1" t="s">
        <v>51</v>
      </c>
      <c r="I9" s="3">
        <v>28</v>
      </c>
      <c r="J9" s="3">
        <v>20</v>
      </c>
      <c r="K9" s="1" t="s">
        <v>65</v>
      </c>
      <c r="L9" s="1" t="s">
        <v>83</v>
      </c>
      <c r="M9" s="1" t="s">
        <v>96</v>
      </c>
    </row>
    <row r="10" spans="1:13" ht="27.6">
      <c r="A10" s="2">
        <v>45674</v>
      </c>
      <c r="B10" s="13" t="s">
        <v>81</v>
      </c>
      <c r="C10" s="1" t="s">
        <v>85</v>
      </c>
      <c r="D10" s="1" t="s">
        <v>32</v>
      </c>
      <c r="E10" s="1" t="s">
        <v>22</v>
      </c>
      <c r="F10" s="1" t="s">
        <v>57</v>
      </c>
      <c r="G10" s="1" t="s">
        <v>36</v>
      </c>
      <c r="H10" s="1" t="s">
        <v>49</v>
      </c>
      <c r="I10" s="3">
        <v>29</v>
      </c>
      <c r="J10" s="3">
        <v>20</v>
      </c>
      <c r="K10" s="1" t="s">
        <v>65</v>
      </c>
      <c r="L10" s="1" t="s">
        <v>90</v>
      </c>
      <c r="M10" s="1" t="s">
        <v>97</v>
      </c>
    </row>
    <row r="11" spans="1:13" ht="27.6">
      <c r="A11" s="2">
        <v>45669</v>
      </c>
      <c r="B11" s="13" t="s">
        <v>81</v>
      </c>
      <c r="C11" s="1" t="s">
        <v>92</v>
      </c>
      <c r="D11" s="1" t="s">
        <v>30</v>
      </c>
      <c r="E11" s="1" t="s">
        <v>26</v>
      </c>
      <c r="F11" s="1" t="s">
        <v>57</v>
      </c>
      <c r="G11" s="1" t="s">
        <v>42</v>
      </c>
      <c r="H11" s="1" t="s">
        <v>49</v>
      </c>
      <c r="I11" s="3">
        <v>27</v>
      </c>
      <c r="J11" s="3">
        <v>20</v>
      </c>
      <c r="K11" s="1" t="s">
        <v>65</v>
      </c>
      <c r="L11" s="1" t="s">
        <v>90</v>
      </c>
      <c r="M11" s="1" t="s">
        <v>98</v>
      </c>
    </row>
    <row r="12" spans="1:13">
      <c r="A12" s="2">
        <v>45686</v>
      </c>
      <c r="B12" s="13" t="s">
        <v>81</v>
      </c>
      <c r="C12" s="1" t="s">
        <v>88</v>
      </c>
      <c r="D12" s="1" t="s">
        <v>32</v>
      </c>
      <c r="E12" s="1" t="s">
        <v>22</v>
      </c>
      <c r="F12" s="1" t="s">
        <v>61</v>
      </c>
      <c r="G12" s="1" t="s">
        <v>44</v>
      </c>
      <c r="H12" s="1" t="s">
        <v>53</v>
      </c>
      <c r="I12" s="3">
        <v>9</v>
      </c>
      <c r="J12" s="3">
        <v>20</v>
      </c>
      <c r="K12" s="1" t="s">
        <v>66</v>
      </c>
      <c r="L12" s="1" t="s">
        <v>83</v>
      </c>
      <c r="M12" s="1" t="s">
        <v>87</v>
      </c>
    </row>
    <row r="13" spans="1:13">
      <c r="A13" s="2">
        <v>45687</v>
      </c>
      <c r="B13" s="13" t="s">
        <v>81</v>
      </c>
      <c r="C13" s="1" t="s">
        <v>88</v>
      </c>
      <c r="D13" s="1" t="s">
        <v>28</v>
      </c>
      <c r="E13" s="1" t="s">
        <v>18</v>
      </c>
      <c r="F13" s="1" t="s">
        <v>59</v>
      </c>
      <c r="G13" s="1" t="s">
        <v>42</v>
      </c>
      <c r="H13" s="1" t="s">
        <v>51</v>
      </c>
      <c r="I13" s="3">
        <v>15</v>
      </c>
      <c r="J13" s="3">
        <v>30</v>
      </c>
      <c r="K13" s="1" t="s">
        <v>66</v>
      </c>
      <c r="L13" s="1" t="s">
        <v>90</v>
      </c>
      <c r="M13" s="1" t="s">
        <v>96</v>
      </c>
    </row>
    <row r="14" spans="1:13" ht="27.6">
      <c r="A14" s="2">
        <v>45681</v>
      </c>
      <c r="B14" s="13" t="s">
        <v>81</v>
      </c>
      <c r="C14" s="1" t="s">
        <v>85</v>
      </c>
      <c r="D14" s="1" t="s">
        <v>28</v>
      </c>
      <c r="E14" s="1" t="s">
        <v>22</v>
      </c>
      <c r="F14" s="1" t="s">
        <v>60</v>
      </c>
      <c r="G14" s="1" t="s">
        <v>44</v>
      </c>
      <c r="H14" s="1" t="s">
        <v>52</v>
      </c>
      <c r="I14" s="3">
        <v>7</v>
      </c>
      <c r="J14" s="3">
        <v>30</v>
      </c>
      <c r="K14" s="1" t="s">
        <v>66</v>
      </c>
      <c r="L14" s="1" t="s">
        <v>90</v>
      </c>
      <c r="M14" s="1" t="s">
        <v>91</v>
      </c>
    </row>
    <row r="15" spans="1:13">
      <c r="A15" s="2">
        <v>45688</v>
      </c>
      <c r="B15" s="13" t="s">
        <v>81</v>
      </c>
      <c r="C15" s="1" t="s">
        <v>93</v>
      </c>
      <c r="D15" s="1" t="s">
        <v>28</v>
      </c>
      <c r="E15" s="1" t="s">
        <v>15</v>
      </c>
      <c r="F15" s="1" t="s">
        <v>56</v>
      </c>
      <c r="G15" s="1" t="s">
        <v>47</v>
      </c>
      <c r="H15" s="1" t="s">
        <v>51</v>
      </c>
      <c r="I15" s="3">
        <v>4</v>
      </c>
      <c r="J15" s="3">
        <v>30</v>
      </c>
      <c r="K15" s="1" t="s">
        <v>66</v>
      </c>
      <c r="L15" s="1" t="s">
        <v>90</v>
      </c>
      <c r="M15" s="1" t="s">
        <v>87</v>
      </c>
    </row>
    <row r="16" spans="1:13">
      <c r="A16" s="2">
        <v>45673</v>
      </c>
      <c r="B16" s="13" t="s">
        <v>81</v>
      </c>
      <c r="C16" s="1" t="s">
        <v>95</v>
      </c>
      <c r="D16" s="1" t="s">
        <v>29</v>
      </c>
      <c r="E16" s="1" t="s">
        <v>25</v>
      </c>
      <c r="F16" s="1" t="s">
        <v>62</v>
      </c>
      <c r="G16" s="1" t="s">
        <v>36</v>
      </c>
      <c r="H16" s="1" t="s">
        <v>50</v>
      </c>
      <c r="I16" s="3">
        <v>2</v>
      </c>
      <c r="J16" s="3">
        <v>30</v>
      </c>
      <c r="K16" s="1" t="s">
        <v>66</v>
      </c>
      <c r="L16" s="1" t="s">
        <v>86</v>
      </c>
      <c r="M16" s="1" t="s">
        <v>84</v>
      </c>
    </row>
    <row r="17" spans="1:13" ht="27.6">
      <c r="A17" s="2">
        <v>45671</v>
      </c>
      <c r="B17" s="13" t="s">
        <v>81</v>
      </c>
      <c r="C17" s="1" t="s">
        <v>92</v>
      </c>
      <c r="D17" s="1" t="s">
        <v>30</v>
      </c>
      <c r="E17" s="1" t="s">
        <v>26</v>
      </c>
      <c r="F17" s="1" t="s">
        <v>56</v>
      </c>
      <c r="G17" s="1" t="s">
        <v>38</v>
      </c>
      <c r="H17" s="1" t="s">
        <v>49</v>
      </c>
      <c r="I17" s="3">
        <v>13</v>
      </c>
      <c r="J17" s="3">
        <v>20</v>
      </c>
      <c r="K17" s="1" t="s">
        <v>66</v>
      </c>
      <c r="L17" s="1" t="s">
        <v>90</v>
      </c>
      <c r="M17" s="1" t="s">
        <v>97</v>
      </c>
    </row>
    <row r="18" spans="1:13">
      <c r="A18" s="2">
        <v>45705</v>
      </c>
      <c r="B18" s="13" t="s">
        <v>99</v>
      </c>
      <c r="C18" s="1" t="s">
        <v>82</v>
      </c>
      <c r="D18" s="1" t="s">
        <v>32</v>
      </c>
      <c r="E18" s="1" t="s">
        <v>23</v>
      </c>
      <c r="F18" s="1" t="s">
        <v>62</v>
      </c>
      <c r="G18" s="1" t="s">
        <v>39</v>
      </c>
      <c r="H18" s="1" t="s">
        <v>53</v>
      </c>
      <c r="I18" s="3">
        <v>6</v>
      </c>
      <c r="J18" s="3">
        <v>20</v>
      </c>
      <c r="K18" s="1" t="s">
        <v>66</v>
      </c>
      <c r="L18" s="1" t="s">
        <v>90</v>
      </c>
      <c r="M18" s="1" t="s">
        <v>96</v>
      </c>
    </row>
    <row r="19" spans="1:13">
      <c r="A19" s="2">
        <v>45707</v>
      </c>
      <c r="B19" s="13" t="s">
        <v>99</v>
      </c>
      <c r="C19" s="1" t="s">
        <v>92</v>
      </c>
      <c r="D19" s="1" t="s">
        <v>31</v>
      </c>
      <c r="E19" s="1" t="s">
        <v>20</v>
      </c>
      <c r="F19" s="1" t="s">
        <v>58</v>
      </c>
      <c r="G19" s="1" t="s">
        <v>41</v>
      </c>
      <c r="H19" s="1" t="s">
        <v>51</v>
      </c>
      <c r="I19" s="3">
        <v>23</v>
      </c>
      <c r="J19" s="3">
        <v>20</v>
      </c>
      <c r="K19" s="1" t="s">
        <v>65</v>
      </c>
      <c r="L19" s="1" t="s">
        <v>83</v>
      </c>
      <c r="M19" s="1" t="s">
        <v>89</v>
      </c>
    </row>
    <row r="20" spans="1:13" ht="27.6">
      <c r="A20" s="2">
        <v>45694</v>
      </c>
      <c r="B20" s="13" t="s">
        <v>99</v>
      </c>
      <c r="C20" s="1" t="s">
        <v>85</v>
      </c>
      <c r="D20" s="1" t="s">
        <v>28</v>
      </c>
      <c r="E20" s="1" t="s">
        <v>25</v>
      </c>
      <c r="F20" s="1" t="s">
        <v>59</v>
      </c>
      <c r="G20" s="1" t="s">
        <v>41</v>
      </c>
      <c r="H20" s="1" t="s">
        <v>49</v>
      </c>
      <c r="I20" s="3">
        <v>16</v>
      </c>
      <c r="J20" s="3">
        <v>30</v>
      </c>
      <c r="K20" s="1" t="s">
        <v>66</v>
      </c>
      <c r="L20" s="1" t="s">
        <v>86</v>
      </c>
      <c r="M20" s="1" t="s">
        <v>91</v>
      </c>
    </row>
    <row r="21" spans="1:13">
      <c r="A21" s="2">
        <v>45692</v>
      </c>
      <c r="B21" s="13" t="s">
        <v>99</v>
      </c>
      <c r="C21" s="1" t="s">
        <v>85</v>
      </c>
      <c r="D21" s="1" t="s">
        <v>29</v>
      </c>
      <c r="E21" s="1" t="s">
        <v>23</v>
      </c>
      <c r="F21" s="1" t="s">
        <v>62</v>
      </c>
      <c r="G21" s="1" t="s">
        <v>44</v>
      </c>
      <c r="H21" s="1" t="s">
        <v>51</v>
      </c>
      <c r="I21" s="3">
        <v>18</v>
      </c>
      <c r="J21" s="3">
        <v>30</v>
      </c>
      <c r="K21" s="1" t="s">
        <v>66</v>
      </c>
      <c r="L21" s="1" t="s">
        <v>86</v>
      </c>
      <c r="M21" s="1" t="s">
        <v>94</v>
      </c>
    </row>
    <row r="22" spans="1:13">
      <c r="A22" s="2">
        <v>45705</v>
      </c>
      <c r="B22" s="13" t="s">
        <v>99</v>
      </c>
      <c r="C22" s="1" t="s">
        <v>93</v>
      </c>
      <c r="D22" s="1" t="s">
        <v>33</v>
      </c>
      <c r="E22" s="1" t="s">
        <v>26</v>
      </c>
      <c r="F22" s="1" t="s">
        <v>62</v>
      </c>
      <c r="G22" s="1" t="s">
        <v>38</v>
      </c>
      <c r="H22" s="1" t="s">
        <v>51</v>
      </c>
      <c r="I22" s="3">
        <v>27</v>
      </c>
      <c r="J22" s="3">
        <v>20</v>
      </c>
      <c r="K22" s="1" t="s">
        <v>65</v>
      </c>
      <c r="L22" s="1" t="s">
        <v>86</v>
      </c>
      <c r="M22" s="1" t="s">
        <v>96</v>
      </c>
    </row>
    <row r="23" spans="1:13">
      <c r="A23" s="2">
        <v>45699</v>
      </c>
      <c r="B23" s="13" t="s">
        <v>99</v>
      </c>
      <c r="C23" s="1" t="s">
        <v>85</v>
      </c>
      <c r="D23" s="1" t="s">
        <v>32</v>
      </c>
      <c r="E23" s="1" t="s">
        <v>26</v>
      </c>
      <c r="F23" s="1" t="s">
        <v>62</v>
      </c>
      <c r="G23" s="1" t="s">
        <v>37</v>
      </c>
      <c r="H23" s="1" t="s">
        <v>51</v>
      </c>
      <c r="I23" s="3">
        <v>13</v>
      </c>
      <c r="J23" s="3">
        <v>20</v>
      </c>
      <c r="K23" s="1" t="s">
        <v>66</v>
      </c>
      <c r="L23" s="1" t="s">
        <v>86</v>
      </c>
      <c r="M23" s="1" t="s">
        <v>100</v>
      </c>
    </row>
    <row r="24" spans="1:13">
      <c r="A24" s="2">
        <v>45716</v>
      </c>
      <c r="B24" s="13" t="s">
        <v>99</v>
      </c>
      <c r="C24" s="1" t="s">
        <v>93</v>
      </c>
      <c r="D24" s="1" t="s">
        <v>28</v>
      </c>
      <c r="E24" s="1" t="s">
        <v>24</v>
      </c>
      <c r="F24" s="1" t="s">
        <v>59</v>
      </c>
      <c r="G24" s="1" t="s">
        <v>37</v>
      </c>
      <c r="H24" s="1" t="s">
        <v>51</v>
      </c>
      <c r="I24" s="3">
        <v>21</v>
      </c>
      <c r="J24" s="3">
        <v>30</v>
      </c>
      <c r="K24" s="1" t="s">
        <v>66</v>
      </c>
      <c r="L24" s="1" t="s">
        <v>90</v>
      </c>
      <c r="M24" s="1" t="s">
        <v>94</v>
      </c>
    </row>
    <row r="25" spans="1:13" ht="27.6">
      <c r="A25" s="2">
        <v>45709</v>
      </c>
      <c r="B25" s="13" t="s">
        <v>99</v>
      </c>
      <c r="C25" s="1" t="s">
        <v>92</v>
      </c>
      <c r="D25" s="1" t="s">
        <v>28</v>
      </c>
      <c r="E25" s="1" t="s">
        <v>26</v>
      </c>
      <c r="F25" s="1" t="s">
        <v>57</v>
      </c>
      <c r="G25" s="1" t="s">
        <v>46</v>
      </c>
      <c r="H25" s="1" t="s">
        <v>50</v>
      </c>
      <c r="I25" s="3">
        <v>20</v>
      </c>
      <c r="J25" s="3">
        <v>30</v>
      </c>
      <c r="K25" s="1" t="s">
        <v>66</v>
      </c>
      <c r="L25" s="1" t="s">
        <v>90</v>
      </c>
      <c r="M25" s="1" t="s">
        <v>97</v>
      </c>
    </row>
    <row r="26" spans="1:13">
      <c r="A26" s="2">
        <v>45695</v>
      </c>
      <c r="B26" s="13" t="s">
        <v>99</v>
      </c>
      <c r="C26" s="1" t="s">
        <v>92</v>
      </c>
      <c r="D26" s="1" t="s">
        <v>31</v>
      </c>
      <c r="E26" s="1" t="s">
        <v>15</v>
      </c>
      <c r="F26" s="1" t="s">
        <v>57</v>
      </c>
      <c r="G26" s="1" t="s">
        <v>39</v>
      </c>
      <c r="H26" s="1" t="s">
        <v>51</v>
      </c>
      <c r="I26" s="3">
        <v>3</v>
      </c>
      <c r="J26" s="3">
        <v>20</v>
      </c>
      <c r="K26" s="1" t="s">
        <v>66</v>
      </c>
      <c r="L26" s="1" t="s">
        <v>83</v>
      </c>
      <c r="M26" s="1" t="s">
        <v>91</v>
      </c>
    </row>
    <row r="27" spans="1:13">
      <c r="A27" s="2">
        <v>45696</v>
      </c>
      <c r="B27" s="13" t="s">
        <v>99</v>
      </c>
      <c r="C27" s="1" t="s">
        <v>88</v>
      </c>
      <c r="D27" s="1" t="s">
        <v>32</v>
      </c>
      <c r="E27" s="1" t="s">
        <v>21</v>
      </c>
      <c r="F27" s="1" t="s">
        <v>57</v>
      </c>
      <c r="G27" s="1" t="s">
        <v>40</v>
      </c>
      <c r="H27" s="1" t="s">
        <v>53</v>
      </c>
      <c r="I27" s="3">
        <v>2</v>
      </c>
      <c r="J27" s="3">
        <v>20</v>
      </c>
      <c r="K27" s="1" t="s">
        <v>66</v>
      </c>
      <c r="L27" s="1" t="s">
        <v>90</v>
      </c>
      <c r="M27" s="1" t="s">
        <v>87</v>
      </c>
    </row>
    <row r="28" spans="1:13">
      <c r="A28" s="2">
        <v>45716</v>
      </c>
      <c r="B28" s="13" t="s">
        <v>99</v>
      </c>
      <c r="C28" s="1" t="s">
        <v>92</v>
      </c>
      <c r="D28" s="1" t="s">
        <v>29</v>
      </c>
      <c r="E28" s="1" t="s">
        <v>17</v>
      </c>
      <c r="F28" s="1" t="s">
        <v>55</v>
      </c>
      <c r="G28" s="1" t="s">
        <v>42</v>
      </c>
      <c r="H28" s="1" t="s">
        <v>51</v>
      </c>
      <c r="I28" s="3">
        <v>3</v>
      </c>
      <c r="J28" s="3">
        <v>30</v>
      </c>
      <c r="K28" s="1" t="s">
        <v>66</v>
      </c>
      <c r="L28" s="1" t="s">
        <v>83</v>
      </c>
      <c r="M28" s="1" t="s">
        <v>94</v>
      </c>
    </row>
    <row r="29" spans="1:13">
      <c r="A29" s="2">
        <v>45699</v>
      </c>
      <c r="B29" s="13" t="s">
        <v>99</v>
      </c>
      <c r="C29" s="1" t="s">
        <v>85</v>
      </c>
      <c r="D29" s="1" t="s">
        <v>31</v>
      </c>
      <c r="E29" s="1" t="s">
        <v>23</v>
      </c>
      <c r="F29" s="1" t="s">
        <v>61</v>
      </c>
      <c r="G29" s="1" t="s">
        <v>42</v>
      </c>
      <c r="H29" s="1" t="s">
        <v>52</v>
      </c>
      <c r="I29" s="3">
        <v>6</v>
      </c>
      <c r="J29" s="3">
        <v>20</v>
      </c>
      <c r="K29" s="1" t="s">
        <v>66</v>
      </c>
      <c r="L29" s="1" t="s">
        <v>90</v>
      </c>
      <c r="M29" s="1" t="s">
        <v>89</v>
      </c>
    </row>
    <row r="30" spans="1:13">
      <c r="A30" s="2">
        <v>45707</v>
      </c>
      <c r="B30" s="13" t="s">
        <v>99</v>
      </c>
      <c r="C30" s="1" t="s">
        <v>92</v>
      </c>
      <c r="D30" s="1" t="s">
        <v>29</v>
      </c>
      <c r="E30" s="1" t="s">
        <v>22</v>
      </c>
      <c r="F30" s="1" t="s">
        <v>58</v>
      </c>
      <c r="G30" s="1" t="s">
        <v>44</v>
      </c>
      <c r="H30" s="1" t="s">
        <v>52</v>
      </c>
      <c r="I30" s="3">
        <v>7</v>
      </c>
      <c r="J30" s="3">
        <v>30</v>
      </c>
      <c r="K30" s="1" t="s">
        <v>66</v>
      </c>
      <c r="L30" s="1" t="s">
        <v>90</v>
      </c>
      <c r="M30" s="1" t="s">
        <v>89</v>
      </c>
    </row>
    <row r="31" spans="1:13">
      <c r="A31" s="2">
        <v>45705</v>
      </c>
      <c r="B31" s="13" t="s">
        <v>99</v>
      </c>
      <c r="C31" s="1" t="s">
        <v>92</v>
      </c>
      <c r="D31" s="1" t="s">
        <v>29</v>
      </c>
      <c r="E31" s="1" t="s">
        <v>20</v>
      </c>
      <c r="F31" s="1" t="s">
        <v>61</v>
      </c>
      <c r="G31" s="1" t="s">
        <v>36</v>
      </c>
      <c r="H31" s="1" t="s">
        <v>50</v>
      </c>
      <c r="I31" s="3">
        <v>2</v>
      </c>
      <c r="J31" s="3">
        <v>30</v>
      </c>
      <c r="K31" s="1" t="s">
        <v>66</v>
      </c>
      <c r="L31" s="1" t="s">
        <v>90</v>
      </c>
      <c r="M31" s="1" t="s">
        <v>91</v>
      </c>
    </row>
    <row r="32" spans="1:13">
      <c r="A32" s="2">
        <v>45690</v>
      </c>
      <c r="B32" s="13" t="s">
        <v>99</v>
      </c>
      <c r="C32" s="1" t="s">
        <v>88</v>
      </c>
      <c r="D32" s="1" t="s">
        <v>32</v>
      </c>
      <c r="E32" s="1" t="s">
        <v>15</v>
      </c>
      <c r="F32" s="1" t="s">
        <v>58</v>
      </c>
      <c r="G32" s="1" t="s">
        <v>45</v>
      </c>
      <c r="H32" s="1" t="s">
        <v>52</v>
      </c>
      <c r="I32" s="3">
        <v>10</v>
      </c>
      <c r="J32" s="3">
        <v>20</v>
      </c>
      <c r="K32" s="1" t="s">
        <v>66</v>
      </c>
      <c r="L32" s="1" t="s">
        <v>86</v>
      </c>
      <c r="M32" s="1" t="s">
        <v>94</v>
      </c>
    </row>
    <row r="33" spans="1:13">
      <c r="A33" s="2">
        <v>45716</v>
      </c>
      <c r="B33" s="13" t="s">
        <v>99</v>
      </c>
      <c r="C33" s="1" t="s">
        <v>85</v>
      </c>
      <c r="D33" s="1" t="s">
        <v>32</v>
      </c>
      <c r="E33" s="1" t="s">
        <v>18</v>
      </c>
      <c r="F33" s="1" t="s">
        <v>55</v>
      </c>
      <c r="G33" s="1" t="s">
        <v>36</v>
      </c>
      <c r="H33" s="1" t="s">
        <v>51</v>
      </c>
      <c r="I33" s="3">
        <v>9</v>
      </c>
      <c r="J33" s="3">
        <v>20</v>
      </c>
      <c r="K33" s="1" t="s">
        <v>66</v>
      </c>
      <c r="L33" s="1" t="s">
        <v>90</v>
      </c>
      <c r="M33" s="1" t="s">
        <v>94</v>
      </c>
    </row>
    <row r="34" spans="1:13" ht="27.6">
      <c r="A34" s="2">
        <v>45689</v>
      </c>
      <c r="B34" s="13" t="s">
        <v>99</v>
      </c>
      <c r="C34" s="1" t="s">
        <v>88</v>
      </c>
      <c r="D34" s="1" t="s">
        <v>33</v>
      </c>
      <c r="E34" s="1" t="s">
        <v>22</v>
      </c>
      <c r="F34" s="1" t="s">
        <v>59</v>
      </c>
      <c r="G34" s="1" t="s">
        <v>37</v>
      </c>
      <c r="H34" s="1" t="s">
        <v>49</v>
      </c>
      <c r="I34" s="3">
        <v>7</v>
      </c>
      <c r="J34" s="3">
        <v>20</v>
      </c>
      <c r="K34" s="1" t="s">
        <v>66</v>
      </c>
      <c r="L34" s="1" t="s">
        <v>86</v>
      </c>
      <c r="M34" s="1" t="s">
        <v>96</v>
      </c>
    </row>
    <row r="35" spans="1:13" ht="27.6">
      <c r="A35" s="2">
        <v>45704</v>
      </c>
      <c r="B35" s="13" t="s">
        <v>99</v>
      </c>
      <c r="C35" s="1" t="s">
        <v>92</v>
      </c>
      <c r="D35" s="1" t="s">
        <v>30</v>
      </c>
      <c r="E35" s="1" t="s">
        <v>23</v>
      </c>
      <c r="F35" s="1" t="s">
        <v>59</v>
      </c>
      <c r="G35" s="1" t="s">
        <v>42</v>
      </c>
      <c r="H35" s="1" t="s">
        <v>51</v>
      </c>
      <c r="I35" s="3">
        <v>14</v>
      </c>
      <c r="J35" s="3">
        <v>20</v>
      </c>
      <c r="K35" s="1" t="s">
        <v>66</v>
      </c>
      <c r="L35" s="1" t="s">
        <v>90</v>
      </c>
      <c r="M35" s="1" t="s">
        <v>94</v>
      </c>
    </row>
    <row r="36" spans="1:13">
      <c r="A36" s="2">
        <v>45705</v>
      </c>
      <c r="B36" s="13" t="s">
        <v>99</v>
      </c>
      <c r="C36" s="1" t="s">
        <v>92</v>
      </c>
      <c r="D36" s="1" t="s">
        <v>31</v>
      </c>
      <c r="E36" s="1" t="s">
        <v>25</v>
      </c>
      <c r="F36" s="1" t="s">
        <v>58</v>
      </c>
      <c r="G36" s="1" t="s">
        <v>39</v>
      </c>
      <c r="H36" s="1" t="s">
        <v>51</v>
      </c>
      <c r="I36" s="3">
        <v>3</v>
      </c>
      <c r="J36" s="3">
        <v>20</v>
      </c>
      <c r="K36" s="1" t="s">
        <v>66</v>
      </c>
      <c r="L36" s="1" t="s">
        <v>86</v>
      </c>
      <c r="M36" s="1" t="s">
        <v>84</v>
      </c>
    </row>
    <row r="37" spans="1:13" ht="27.6">
      <c r="A37" s="2">
        <v>45706</v>
      </c>
      <c r="B37" s="13" t="s">
        <v>99</v>
      </c>
      <c r="C37" s="1" t="s">
        <v>88</v>
      </c>
      <c r="D37" s="1" t="s">
        <v>30</v>
      </c>
      <c r="E37" s="1" t="s">
        <v>22</v>
      </c>
      <c r="F37" s="1" t="s">
        <v>56</v>
      </c>
      <c r="G37" s="1" t="s">
        <v>36</v>
      </c>
      <c r="H37" s="1" t="s">
        <v>49</v>
      </c>
      <c r="I37" s="3">
        <v>16</v>
      </c>
      <c r="J37" s="3">
        <v>20</v>
      </c>
      <c r="K37" s="1" t="s">
        <v>66</v>
      </c>
      <c r="L37" s="1" t="s">
        <v>86</v>
      </c>
      <c r="M37" s="1" t="s">
        <v>100</v>
      </c>
    </row>
    <row r="38" spans="1:13">
      <c r="A38" s="2">
        <v>45697</v>
      </c>
      <c r="B38" s="13" t="s">
        <v>99</v>
      </c>
      <c r="C38" s="1" t="s">
        <v>88</v>
      </c>
      <c r="D38" s="1" t="s">
        <v>31</v>
      </c>
      <c r="E38" s="1" t="s">
        <v>26</v>
      </c>
      <c r="F38" s="1" t="s">
        <v>56</v>
      </c>
      <c r="G38" s="1" t="s">
        <v>44</v>
      </c>
      <c r="H38" s="1" t="s">
        <v>51</v>
      </c>
      <c r="I38" s="3">
        <v>13</v>
      </c>
      <c r="J38" s="3">
        <v>20</v>
      </c>
      <c r="K38" s="1" t="s">
        <v>66</v>
      </c>
      <c r="L38" s="1" t="s">
        <v>90</v>
      </c>
      <c r="M38" s="1" t="s">
        <v>100</v>
      </c>
    </row>
    <row r="39" spans="1:13">
      <c r="A39" s="2">
        <v>45726</v>
      </c>
      <c r="B39" s="13" t="s">
        <v>101</v>
      </c>
      <c r="C39" s="1" t="s">
        <v>88</v>
      </c>
      <c r="D39" s="1" t="s">
        <v>32</v>
      </c>
      <c r="E39" s="1" t="s">
        <v>17</v>
      </c>
      <c r="F39" s="1" t="s">
        <v>59</v>
      </c>
      <c r="G39" s="1" t="s">
        <v>36</v>
      </c>
      <c r="H39" s="1" t="s">
        <v>52</v>
      </c>
      <c r="I39" s="3">
        <v>7</v>
      </c>
      <c r="J39" s="3">
        <v>20</v>
      </c>
      <c r="K39" s="1" t="s">
        <v>66</v>
      </c>
      <c r="L39" s="1" t="s">
        <v>86</v>
      </c>
      <c r="M39" s="1" t="s">
        <v>94</v>
      </c>
    </row>
    <row r="40" spans="1:13">
      <c r="A40" s="2">
        <v>45724</v>
      </c>
      <c r="B40" s="13" t="s">
        <v>101</v>
      </c>
      <c r="C40" s="1" t="s">
        <v>85</v>
      </c>
      <c r="D40" s="1" t="s">
        <v>29</v>
      </c>
      <c r="E40" s="1" t="s">
        <v>17</v>
      </c>
      <c r="F40" s="1" t="s">
        <v>57</v>
      </c>
      <c r="G40" s="1" t="s">
        <v>44</v>
      </c>
      <c r="H40" s="1" t="s">
        <v>51</v>
      </c>
      <c r="I40" s="3">
        <v>19</v>
      </c>
      <c r="J40" s="3">
        <v>30</v>
      </c>
      <c r="K40" s="1" t="s">
        <v>66</v>
      </c>
      <c r="L40" s="1" t="s">
        <v>90</v>
      </c>
      <c r="M40" s="1" t="s">
        <v>98</v>
      </c>
    </row>
    <row r="41" spans="1:13" ht="27.6">
      <c r="A41" s="2">
        <v>45739</v>
      </c>
      <c r="B41" s="13" t="s">
        <v>101</v>
      </c>
      <c r="C41" s="1" t="s">
        <v>85</v>
      </c>
      <c r="D41" s="1" t="s">
        <v>33</v>
      </c>
      <c r="E41" s="1" t="s">
        <v>24</v>
      </c>
      <c r="F41" s="1" t="s">
        <v>56</v>
      </c>
      <c r="G41" s="1" t="s">
        <v>35</v>
      </c>
      <c r="H41" s="1" t="s">
        <v>49</v>
      </c>
      <c r="I41" s="3">
        <v>12</v>
      </c>
      <c r="J41" s="3">
        <v>20</v>
      </c>
      <c r="K41" s="1" t="s">
        <v>66</v>
      </c>
      <c r="L41" s="1" t="s">
        <v>86</v>
      </c>
      <c r="M41" s="1" t="s">
        <v>91</v>
      </c>
    </row>
    <row r="42" spans="1:13">
      <c r="A42" s="2">
        <v>45719</v>
      </c>
      <c r="B42" s="13" t="s">
        <v>101</v>
      </c>
      <c r="C42" s="1" t="s">
        <v>82</v>
      </c>
      <c r="D42" s="1" t="s">
        <v>33</v>
      </c>
      <c r="E42" s="1" t="s">
        <v>23</v>
      </c>
      <c r="F42" s="1" t="s">
        <v>57</v>
      </c>
      <c r="G42" s="1" t="s">
        <v>47</v>
      </c>
      <c r="H42" s="1" t="s">
        <v>51</v>
      </c>
      <c r="I42" s="3">
        <v>10</v>
      </c>
      <c r="J42" s="3">
        <v>20</v>
      </c>
      <c r="K42" s="1" t="s">
        <v>66</v>
      </c>
      <c r="L42" s="1" t="s">
        <v>90</v>
      </c>
      <c r="M42" s="1" t="s">
        <v>89</v>
      </c>
    </row>
    <row r="43" spans="1:13">
      <c r="A43" s="2">
        <v>45747</v>
      </c>
      <c r="B43" s="13" t="s">
        <v>101</v>
      </c>
      <c r="C43" s="1" t="s">
        <v>93</v>
      </c>
      <c r="D43" s="1" t="s">
        <v>31</v>
      </c>
      <c r="E43" s="1" t="s">
        <v>24</v>
      </c>
      <c r="F43" s="1" t="s">
        <v>59</v>
      </c>
      <c r="G43" s="1" t="s">
        <v>40</v>
      </c>
      <c r="H43" s="1" t="s">
        <v>51</v>
      </c>
      <c r="I43" s="3">
        <v>17</v>
      </c>
      <c r="J43" s="3">
        <v>20</v>
      </c>
      <c r="K43" s="1" t="s">
        <v>66</v>
      </c>
      <c r="L43" s="1" t="s">
        <v>86</v>
      </c>
      <c r="M43" s="1" t="s">
        <v>98</v>
      </c>
    </row>
    <row r="44" spans="1:13" ht="27.6">
      <c r="A44" s="2">
        <v>45718</v>
      </c>
      <c r="B44" s="13" t="s">
        <v>101</v>
      </c>
      <c r="C44" s="1" t="s">
        <v>85</v>
      </c>
      <c r="D44" s="1" t="s">
        <v>29</v>
      </c>
      <c r="E44" s="1" t="s">
        <v>16</v>
      </c>
      <c r="F44" s="1" t="s">
        <v>60</v>
      </c>
      <c r="G44" s="1" t="s">
        <v>42</v>
      </c>
      <c r="H44" s="1" t="s">
        <v>51</v>
      </c>
      <c r="I44" s="3">
        <v>11</v>
      </c>
      <c r="J44" s="3">
        <v>30</v>
      </c>
      <c r="K44" s="1" t="s">
        <v>66</v>
      </c>
      <c r="L44" s="1" t="s">
        <v>86</v>
      </c>
      <c r="M44" s="1" t="s">
        <v>91</v>
      </c>
    </row>
    <row r="45" spans="1:13">
      <c r="A45" s="2">
        <v>45721</v>
      </c>
      <c r="B45" s="13" t="s">
        <v>101</v>
      </c>
      <c r="C45" s="1" t="s">
        <v>93</v>
      </c>
      <c r="D45" s="1" t="s">
        <v>31</v>
      </c>
      <c r="E45" s="1" t="s">
        <v>26</v>
      </c>
      <c r="F45" s="1" t="s">
        <v>57</v>
      </c>
      <c r="G45" s="1" t="s">
        <v>38</v>
      </c>
      <c r="H45" s="1" t="s">
        <v>50</v>
      </c>
      <c r="I45" s="3">
        <v>18</v>
      </c>
      <c r="J45" s="3">
        <v>20</v>
      </c>
      <c r="K45" s="1" t="s">
        <v>66</v>
      </c>
      <c r="L45" s="1" t="s">
        <v>90</v>
      </c>
      <c r="M45" s="1" t="s">
        <v>96</v>
      </c>
    </row>
    <row r="46" spans="1:13" ht="27.6">
      <c r="A46" s="2">
        <v>45729</v>
      </c>
      <c r="B46" s="13" t="s">
        <v>101</v>
      </c>
      <c r="C46" s="1" t="s">
        <v>85</v>
      </c>
      <c r="D46" s="1" t="s">
        <v>32</v>
      </c>
      <c r="E46" s="1" t="s">
        <v>19</v>
      </c>
      <c r="F46" s="1" t="s">
        <v>55</v>
      </c>
      <c r="G46" s="1" t="s">
        <v>37</v>
      </c>
      <c r="H46" s="1" t="s">
        <v>49</v>
      </c>
      <c r="I46" s="3">
        <v>21</v>
      </c>
      <c r="J46" s="3">
        <v>20</v>
      </c>
      <c r="K46" s="1" t="s">
        <v>65</v>
      </c>
      <c r="L46" s="1" t="s">
        <v>90</v>
      </c>
      <c r="M46" s="1" t="s">
        <v>96</v>
      </c>
    </row>
    <row r="47" spans="1:13">
      <c r="A47" s="2">
        <v>45725</v>
      </c>
      <c r="B47" s="13" t="s">
        <v>101</v>
      </c>
      <c r="C47" s="1" t="s">
        <v>95</v>
      </c>
      <c r="D47" s="1" t="s">
        <v>32</v>
      </c>
      <c r="E47" s="1" t="s">
        <v>22</v>
      </c>
      <c r="F47" s="1" t="s">
        <v>61</v>
      </c>
      <c r="G47" s="1" t="s">
        <v>37</v>
      </c>
      <c r="H47" s="1" t="s">
        <v>51</v>
      </c>
      <c r="I47" s="3">
        <v>10</v>
      </c>
      <c r="J47" s="3">
        <v>20</v>
      </c>
      <c r="K47" s="1" t="s">
        <v>66</v>
      </c>
      <c r="L47" s="1" t="s">
        <v>90</v>
      </c>
      <c r="M47" s="1" t="s">
        <v>87</v>
      </c>
    </row>
    <row r="48" spans="1:13" ht="27.6">
      <c r="A48" s="2">
        <v>45738</v>
      </c>
      <c r="B48" s="13" t="s">
        <v>101</v>
      </c>
      <c r="C48" s="1" t="s">
        <v>93</v>
      </c>
      <c r="D48" s="1" t="s">
        <v>31</v>
      </c>
      <c r="E48" s="1" t="s">
        <v>17</v>
      </c>
      <c r="F48" s="1" t="s">
        <v>55</v>
      </c>
      <c r="G48" s="1" t="s">
        <v>46</v>
      </c>
      <c r="H48" s="1" t="s">
        <v>51</v>
      </c>
      <c r="I48" s="3">
        <v>11</v>
      </c>
      <c r="J48" s="3">
        <v>20</v>
      </c>
      <c r="K48" s="1" t="s">
        <v>66</v>
      </c>
      <c r="L48" s="1" t="s">
        <v>90</v>
      </c>
      <c r="M48" s="1" t="s">
        <v>97</v>
      </c>
    </row>
    <row r="49" spans="1:13">
      <c r="A49" s="2">
        <v>45734</v>
      </c>
      <c r="B49" s="13" t="s">
        <v>101</v>
      </c>
      <c r="C49" s="1" t="s">
        <v>93</v>
      </c>
      <c r="D49" s="1" t="s">
        <v>31</v>
      </c>
      <c r="E49" s="1" t="s">
        <v>22</v>
      </c>
      <c r="F49" s="1" t="s">
        <v>61</v>
      </c>
      <c r="G49" s="1" t="s">
        <v>36</v>
      </c>
      <c r="H49" s="1" t="s">
        <v>52</v>
      </c>
      <c r="I49" s="3">
        <v>10</v>
      </c>
      <c r="J49" s="3">
        <v>20</v>
      </c>
      <c r="K49" s="1" t="s">
        <v>66</v>
      </c>
      <c r="L49" s="1" t="s">
        <v>86</v>
      </c>
      <c r="M49" s="1" t="s">
        <v>102</v>
      </c>
    </row>
    <row r="50" spans="1:13">
      <c r="A50" s="2">
        <v>45733</v>
      </c>
      <c r="B50" s="13" t="s">
        <v>101</v>
      </c>
      <c r="C50" s="1" t="s">
        <v>85</v>
      </c>
      <c r="D50" s="1" t="s">
        <v>33</v>
      </c>
      <c r="E50" s="1" t="s">
        <v>24</v>
      </c>
      <c r="F50" s="1" t="s">
        <v>56</v>
      </c>
      <c r="G50" s="1" t="s">
        <v>46</v>
      </c>
      <c r="H50" s="1" t="s">
        <v>50</v>
      </c>
      <c r="I50" s="3">
        <v>12</v>
      </c>
      <c r="J50" s="3">
        <v>20</v>
      </c>
      <c r="K50" s="1" t="s">
        <v>66</v>
      </c>
      <c r="L50" s="1" t="s">
        <v>90</v>
      </c>
      <c r="M50" s="1" t="s">
        <v>87</v>
      </c>
    </row>
    <row r="51" spans="1:13">
      <c r="A51" s="2">
        <v>45734</v>
      </c>
      <c r="B51" s="13" t="s">
        <v>101</v>
      </c>
      <c r="C51" s="1" t="s">
        <v>93</v>
      </c>
      <c r="D51" s="1" t="s">
        <v>28</v>
      </c>
      <c r="E51" s="1" t="s">
        <v>18</v>
      </c>
      <c r="F51" s="1" t="s">
        <v>55</v>
      </c>
      <c r="G51" s="1" t="s">
        <v>41</v>
      </c>
      <c r="H51" s="1" t="s">
        <v>51</v>
      </c>
      <c r="I51" s="3">
        <v>14</v>
      </c>
      <c r="J51" s="3">
        <v>30</v>
      </c>
      <c r="K51" s="1" t="s">
        <v>66</v>
      </c>
      <c r="L51" s="1" t="s">
        <v>86</v>
      </c>
      <c r="M51" s="1" t="s">
        <v>96</v>
      </c>
    </row>
    <row r="52" spans="1:13" ht="27.6">
      <c r="A52" s="2">
        <v>45722</v>
      </c>
      <c r="B52" s="13" t="s">
        <v>101</v>
      </c>
      <c r="C52" s="1" t="s">
        <v>93</v>
      </c>
      <c r="D52" s="1" t="s">
        <v>30</v>
      </c>
      <c r="E52" s="1" t="s">
        <v>25</v>
      </c>
      <c r="F52" s="1" t="s">
        <v>61</v>
      </c>
      <c r="G52" s="1" t="s">
        <v>37</v>
      </c>
      <c r="H52" s="1" t="s">
        <v>49</v>
      </c>
      <c r="I52" s="3">
        <v>8</v>
      </c>
      <c r="J52" s="3">
        <v>20</v>
      </c>
      <c r="K52" s="1" t="s">
        <v>66</v>
      </c>
      <c r="L52" s="1" t="s">
        <v>86</v>
      </c>
      <c r="M52" s="1" t="s">
        <v>102</v>
      </c>
    </row>
    <row r="53" spans="1:13">
      <c r="A53" s="2">
        <v>45745</v>
      </c>
      <c r="B53" s="13" t="s">
        <v>101</v>
      </c>
      <c r="C53" s="1" t="s">
        <v>93</v>
      </c>
      <c r="D53" s="1" t="s">
        <v>29</v>
      </c>
      <c r="E53" s="1" t="s">
        <v>15</v>
      </c>
      <c r="F53" s="1" t="s">
        <v>58</v>
      </c>
      <c r="G53" s="1" t="s">
        <v>38</v>
      </c>
      <c r="H53" s="1" t="s">
        <v>51</v>
      </c>
      <c r="I53" s="3">
        <v>9</v>
      </c>
      <c r="J53" s="3">
        <v>30</v>
      </c>
      <c r="K53" s="1" t="s">
        <v>66</v>
      </c>
      <c r="L53" s="1" t="s">
        <v>90</v>
      </c>
      <c r="M53" s="1" t="s">
        <v>94</v>
      </c>
    </row>
    <row r="54" spans="1:13">
      <c r="A54" s="2">
        <v>45718</v>
      </c>
      <c r="B54" s="13" t="s">
        <v>101</v>
      </c>
      <c r="C54" s="1" t="s">
        <v>85</v>
      </c>
      <c r="D54" s="1" t="s">
        <v>32</v>
      </c>
      <c r="E54" s="1" t="s">
        <v>20</v>
      </c>
      <c r="F54" s="1" t="s">
        <v>61</v>
      </c>
      <c r="G54" s="1" t="s">
        <v>44</v>
      </c>
      <c r="H54" s="1" t="s">
        <v>51</v>
      </c>
      <c r="I54" s="3">
        <v>15</v>
      </c>
      <c r="J54" s="3">
        <v>20</v>
      </c>
      <c r="K54" s="1" t="s">
        <v>66</v>
      </c>
      <c r="L54" s="1" t="s">
        <v>90</v>
      </c>
      <c r="M54" s="1" t="s">
        <v>87</v>
      </c>
    </row>
    <row r="55" spans="1:13">
      <c r="A55" s="2">
        <v>45741</v>
      </c>
      <c r="B55" s="13" t="s">
        <v>101</v>
      </c>
      <c r="C55" s="1" t="s">
        <v>93</v>
      </c>
      <c r="D55" s="1" t="s">
        <v>31</v>
      </c>
      <c r="E55" s="1" t="s">
        <v>21</v>
      </c>
      <c r="F55" s="1" t="s">
        <v>61</v>
      </c>
      <c r="G55" s="1" t="s">
        <v>42</v>
      </c>
      <c r="H55" s="1" t="s">
        <v>51</v>
      </c>
      <c r="I55" s="3">
        <v>21</v>
      </c>
      <c r="J55" s="3">
        <v>20</v>
      </c>
      <c r="K55" s="1" t="s">
        <v>65</v>
      </c>
      <c r="L55" s="1" t="s">
        <v>86</v>
      </c>
      <c r="M55" s="1" t="s">
        <v>94</v>
      </c>
    </row>
    <row r="56" spans="1:13">
      <c r="A56" s="2">
        <v>45732</v>
      </c>
      <c r="B56" s="13" t="s">
        <v>101</v>
      </c>
      <c r="C56" s="1" t="s">
        <v>85</v>
      </c>
      <c r="D56" s="1" t="s">
        <v>32</v>
      </c>
      <c r="E56" s="1" t="s">
        <v>26</v>
      </c>
      <c r="F56" s="1" t="s">
        <v>61</v>
      </c>
      <c r="G56" s="1" t="s">
        <v>43</v>
      </c>
      <c r="H56" s="1" t="s">
        <v>52</v>
      </c>
      <c r="I56" s="3">
        <v>5</v>
      </c>
      <c r="J56" s="3">
        <v>20</v>
      </c>
      <c r="K56" s="1" t="s">
        <v>66</v>
      </c>
      <c r="L56" s="1" t="s">
        <v>86</v>
      </c>
      <c r="M56" s="1" t="s">
        <v>91</v>
      </c>
    </row>
    <row r="57" spans="1:13">
      <c r="A57" s="2">
        <v>45738</v>
      </c>
      <c r="B57" s="13" t="s">
        <v>101</v>
      </c>
      <c r="C57" s="1" t="s">
        <v>88</v>
      </c>
      <c r="D57" s="1" t="s">
        <v>31</v>
      </c>
      <c r="E57" s="1" t="s">
        <v>24</v>
      </c>
      <c r="F57" s="1" t="s">
        <v>56</v>
      </c>
      <c r="G57" s="1" t="s">
        <v>47</v>
      </c>
      <c r="H57" s="1" t="s">
        <v>53</v>
      </c>
      <c r="I57" s="3">
        <v>7</v>
      </c>
      <c r="J57" s="3">
        <v>20</v>
      </c>
      <c r="K57" s="1" t="s">
        <v>66</v>
      </c>
      <c r="L57" s="1" t="s">
        <v>90</v>
      </c>
      <c r="M57" s="1" t="s">
        <v>89</v>
      </c>
    </row>
    <row r="58" spans="1:13">
      <c r="A58" s="2">
        <v>45737</v>
      </c>
      <c r="B58" s="13" t="s">
        <v>101</v>
      </c>
      <c r="C58" s="1" t="s">
        <v>88</v>
      </c>
      <c r="D58" s="1" t="s">
        <v>32</v>
      </c>
      <c r="E58" s="1" t="s">
        <v>26</v>
      </c>
      <c r="F58" s="1" t="s">
        <v>55</v>
      </c>
      <c r="G58" s="1" t="s">
        <v>37</v>
      </c>
      <c r="H58" s="1" t="s">
        <v>52</v>
      </c>
      <c r="I58" s="3">
        <v>1</v>
      </c>
      <c r="J58" s="3">
        <v>20</v>
      </c>
      <c r="K58" s="1" t="s">
        <v>66</v>
      </c>
      <c r="L58" s="1" t="s">
        <v>83</v>
      </c>
      <c r="M58" s="1" t="s">
        <v>91</v>
      </c>
    </row>
    <row r="59" spans="1:13">
      <c r="A59" s="2">
        <v>45718</v>
      </c>
      <c r="B59" s="13" t="s">
        <v>101</v>
      </c>
      <c r="C59" s="1" t="s">
        <v>93</v>
      </c>
      <c r="D59" s="1" t="s">
        <v>29</v>
      </c>
      <c r="E59" s="1" t="s">
        <v>24</v>
      </c>
      <c r="F59" s="1" t="s">
        <v>62</v>
      </c>
      <c r="G59" s="1" t="s">
        <v>42</v>
      </c>
      <c r="H59" s="1" t="s">
        <v>51</v>
      </c>
      <c r="I59" s="3">
        <v>8</v>
      </c>
      <c r="J59" s="3">
        <v>30</v>
      </c>
      <c r="K59" s="1" t="s">
        <v>66</v>
      </c>
      <c r="L59" s="1" t="s">
        <v>86</v>
      </c>
      <c r="M59" s="1" t="s">
        <v>94</v>
      </c>
    </row>
    <row r="60" spans="1:13">
      <c r="A60" s="2">
        <v>45735</v>
      </c>
      <c r="B60" s="13" t="s">
        <v>101</v>
      </c>
      <c r="C60" s="1" t="s">
        <v>85</v>
      </c>
      <c r="D60" s="1" t="s">
        <v>31</v>
      </c>
      <c r="E60" s="1" t="s">
        <v>23</v>
      </c>
      <c r="F60" s="1" t="s">
        <v>57</v>
      </c>
      <c r="G60" s="1" t="s">
        <v>43</v>
      </c>
      <c r="H60" s="1" t="s">
        <v>51</v>
      </c>
      <c r="I60" s="3">
        <v>15</v>
      </c>
      <c r="J60" s="3">
        <v>20</v>
      </c>
      <c r="K60" s="1" t="s">
        <v>66</v>
      </c>
      <c r="L60" s="1" t="s">
        <v>90</v>
      </c>
      <c r="M60" s="1" t="s">
        <v>96</v>
      </c>
    </row>
    <row r="61" spans="1:13" ht="27.6">
      <c r="A61" s="2">
        <v>45777</v>
      </c>
      <c r="B61" s="13" t="s">
        <v>103</v>
      </c>
      <c r="C61" s="1" t="s">
        <v>92</v>
      </c>
      <c r="D61" s="1" t="s">
        <v>30</v>
      </c>
      <c r="E61" s="1" t="s">
        <v>25</v>
      </c>
      <c r="F61" s="1" t="s">
        <v>61</v>
      </c>
      <c r="G61" s="1" t="s">
        <v>37</v>
      </c>
      <c r="H61" s="1" t="s">
        <v>51</v>
      </c>
      <c r="I61" s="3">
        <v>12</v>
      </c>
      <c r="J61" s="3">
        <v>20</v>
      </c>
      <c r="K61" s="1" t="s">
        <v>66</v>
      </c>
      <c r="L61" s="1" t="s">
        <v>86</v>
      </c>
      <c r="M61" s="1" t="s">
        <v>84</v>
      </c>
    </row>
    <row r="62" spans="1:13">
      <c r="A62" s="2">
        <v>45775</v>
      </c>
      <c r="B62" s="13" t="s">
        <v>103</v>
      </c>
      <c r="C62" s="1" t="s">
        <v>95</v>
      </c>
      <c r="D62" s="1" t="s">
        <v>33</v>
      </c>
      <c r="E62" s="1" t="s">
        <v>25</v>
      </c>
      <c r="F62" s="1" t="s">
        <v>55</v>
      </c>
      <c r="G62" s="1" t="s">
        <v>35</v>
      </c>
      <c r="H62" s="1" t="s">
        <v>50</v>
      </c>
      <c r="I62" s="3">
        <v>7</v>
      </c>
      <c r="J62" s="3">
        <v>20</v>
      </c>
      <c r="K62" s="1" t="s">
        <v>66</v>
      </c>
      <c r="L62" s="1" t="s">
        <v>83</v>
      </c>
      <c r="M62" s="1" t="s">
        <v>91</v>
      </c>
    </row>
    <row r="63" spans="1:13">
      <c r="A63" s="2">
        <v>45749</v>
      </c>
      <c r="B63" s="13" t="s">
        <v>103</v>
      </c>
      <c r="C63" s="1" t="s">
        <v>85</v>
      </c>
      <c r="D63" s="1" t="s">
        <v>28</v>
      </c>
      <c r="E63" s="1" t="s">
        <v>15</v>
      </c>
      <c r="F63" s="1" t="s">
        <v>62</v>
      </c>
      <c r="G63" s="1" t="s">
        <v>37</v>
      </c>
      <c r="H63" s="1" t="s">
        <v>53</v>
      </c>
      <c r="I63" s="3">
        <v>1</v>
      </c>
      <c r="J63" s="3">
        <v>30</v>
      </c>
      <c r="K63" s="1" t="s">
        <v>66</v>
      </c>
      <c r="L63" s="1" t="s">
        <v>86</v>
      </c>
      <c r="M63" s="1" t="s">
        <v>100</v>
      </c>
    </row>
    <row r="64" spans="1:13">
      <c r="A64" s="2">
        <v>45762</v>
      </c>
      <c r="B64" s="13" t="s">
        <v>103</v>
      </c>
      <c r="C64" s="1" t="s">
        <v>92</v>
      </c>
      <c r="D64" s="1" t="s">
        <v>29</v>
      </c>
      <c r="E64" s="1" t="s">
        <v>20</v>
      </c>
      <c r="F64" s="1" t="s">
        <v>59</v>
      </c>
      <c r="G64" s="1" t="s">
        <v>47</v>
      </c>
      <c r="H64" s="1" t="s">
        <v>51</v>
      </c>
      <c r="I64" s="3">
        <v>15</v>
      </c>
      <c r="J64" s="3">
        <v>30</v>
      </c>
      <c r="K64" s="1" t="s">
        <v>66</v>
      </c>
      <c r="L64" s="1" t="s">
        <v>90</v>
      </c>
      <c r="M64" s="1" t="s">
        <v>100</v>
      </c>
    </row>
    <row r="65" spans="1:13">
      <c r="A65" s="2">
        <v>45765</v>
      </c>
      <c r="B65" s="13" t="s">
        <v>103</v>
      </c>
      <c r="C65" s="1" t="s">
        <v>93</v>
      </c>
      <c r="D65" s="1" t="s">
        <v>29</v>
      </c>
      <c r="E65" s="1" t="s">
        <v>20</v>
      </c>
      <c r="F65" s="1" t="s">
        <v>57</v>
      </c>
      <c r="G65" s="1" t="s">
        <v>40</v>
      </c>
      <c r="H65" s="1" t="s">
        <v>53</v>
      </c>
      <c r="I65" s="3">
        <v>11</v>
      </c>
      <c r="J65" s="3">
        <v>30</v>
      </c>
      <c r="K65" s="1" t="s">
        <v>66</v>
      </c>
      <c r="L65" s="1" t="s">
        <v>90</v>
      </c>
      <c r="M65" s="1" t="s">
        <v>102</v>
      </c>
    </row>
    <row r="66" spans="1:13">
      <c r="A66" s="2">
        <v>45772</v>
      </c>
      <c r="B66" s="13" t="s">
        <v>103</v>
      </c>
      <c r="C66" s="1" t="s">
        <v>85</v>
      </c>
      <c r="D66" s="1" t="s">
        <v>32</v>
      </c>
      <c r="E66" s="1" t="s">
        <v>20</v>
      </c>
      <c r="F66" s="1" t="s">
        <v>55</v>
      </c>
      <c r="G66" s="1" t="s">
        <v>40</v>
      </c>
      <c r="H66" s="1" t="s">
        <v>51</v>
      </c>
      <c r="I66" s="3">
        <v>12</v>
      </c>
      <c r="J66" s="3">
        <v>20</v>
      </c>
      <c r="K66" s="1" t="s">
        <v>66</v>
      </c>
      <c r="L66" s="1" t="s">
        <v>86</v>
      </c>
      <c r="M66" s="1" t="s">
        <v>87</v>
      </c>
    </row>
    <row r="67" spans="1:13" ht="27.6">
      <c r="A67" s="2">
        <v>45763</v>
      </c>
      <c r="B67" s="13" t="s">
        <v>103</v>
      </c>
      <c r="C67" s="1" t="s">
        <v>92</v>
      </c>
      <c r="D67" s="1" t="s">
        <v>33</v>
      </c>
      <c r="E67" s="1" t="s">
        <v>17</v>
      </c>
      <c r="F67" s="1" t="s">
        <v>58</v>
      </c>
      <c r="G67" s="1" t="s">
        <v>46</v>
      </c>
      <c r="H67" s="1" t="s">
        <v>53</v>
      </c>
      <c r="I67" s="3">
        <v>7</v>
      </c>
      <c r="J67" s="3">
        <v>20</v>
      </c>
      <c r="K67" s="1" t="s">
        <v>66</v>
      </c>
      <c r="L67" s="1" t="s">
        <v>90</v>
      </c>
      <c r="M67" s="1" t="s">
        <v>97</v>
      </c>
    </row>
    <row r="68" spans="1:13">
      <c r="A68" s="2">
        <v>45760</v>
      </c>
      <c r="B68" s="13" t="s">
        <v>103</v>
      </c>
      <c r="C68" s="1" t="s">
        <v>93</v>
      </c>
      <c r="D68" s="1" t="s">
        <v>33</v>
      </c>
      <c r="E68" s="1" t="s">
        <v>22</v>
      </c>
      <c r="F68" s="1" t="s">
        <v>56</v>
      </c>
      <c r="G68" s="1" t="s">
        <v>47</v>
      </c>
      <c r="H68" s="1" t="s">
        <v>52</v>
      </c>
      <c r="I68" s="3">
        <v>1</v>
      </c>
      <c r="J68" s="3">
        <v>20</v>
      </c>
      <c r="K68" s="1" t="s">
        <v>66</v>
      </c>
      <c r="L68" s="1" t="s">
        <v>90</v>
      </c>
      <c r="M68" s="1" t="s">
        <v>94</v>
      </c>
    </row>
    <row r="69" spans="1:13">
      <c r="A69" s="2">
        <v>45754</v>
      </c>
      <c r="B69" s="13" t="s">
        <v>103</v>
      </c>
      <c r="C69" s="1" t="s">
        <v>93</v>
      </c>
      <c r="D69" s="1" t="s">
        <v>28</v>
      </c>
      <c r="E69" s="1" t="s">
        <v>18</v>
      </c>
      <c r="F69" s="1" t="s">
        <v>56</v>
      </c>
      <c r="G69" s="1" t="s">
        <v>41</v>
      </c>
      <c r="H69" s="1" t="s">
        <v>51</v>
      </c>
      <c r="I69" s="3">
        <v>11</v>
      </c>
      <c r="J69" s="3">
        <v>30</v>
      </c>
      <c r="K69" s="1" t="s">
        <v>66</v>
      </c>
      <c r="L69" s="1" t="s">
        <v>86</v>
      </c>
      <c r="M69" s="1" t="s">
        <v>96</v>
      </c>
    </row>
    <row r="70" spans="1:13">
      <c r="A70" s="2">
        <v>45776</v>
      </c>
      <c r="B70" s="13" t="s">
        <v>103</v>
      </c>
      <c r="C70" s="1" t="s">
        <v>85</v>
      </c>
      <c r="D70" s="1" t="s">
        <v>31</v>
      </c>
      <c r="E70" s="1" t="s">
        <v>20</v>
      </c>
      <c r="F70" s="1" t="s">
        <v>58</v>
      </c>
      <c r="G70" s="1" t="s">
        <v>43</v>
      </c>
      <c r="H70" s="1" t="s">
        <v>51</v>
      </c>
      <c r="I70" s="3">
        <v>7</v>
      </c>
      <c r="J70" s="3">
        <v>20</v>
      </c>
      <c r="K70" s="1" t="s">
        <v>66</v>
      </c>
      <c r="L70" s="1" t="s">
        <v>90</v>
      </c>
      <c r="M70" s="1" t="s">
        <v>102</v>
      </c>
    </row>
    <row r="71" spans="1:13">
      <c r="A71" s="2">
        <v>45777</v>
      </c>
      <c r="B71" s="13" t="s">
        <v>103</v>
      </c>
      <c r="C71" s="1" t="s">
        <v>85</v>
      </c>
      <c r="D71" s="1" t="s">
        <v>31</v>
      </c>
      <c r="E71" s="1" t="s">
        <v>24</v>
      </c>
      <c r="F71" s="1" t="s">
        <v>58</v>
      </c>
      <c r="G71" s="1" t="s">
        <v>36</v>
      </c>
      <c r="H71" s="1" t="s">
        <v>50</v>
      </c>
      <c r="I71" s="3">
        <v>18</v>
      </c>
      <c r="J71" s="3">
        <v>20</v>
      </c>
      <c r="K71" s="1" t="s">
        <v>66</v>
      </c>
      <c r="L71" s="1" t="s">
        <v>86</v>
      </c>
      <c r="M71" s="1" t="s">
        <v>100</v>
      </c>
    </row>
    <row r="72" spans="1:13">
      <c r="A72" s="2">
        <v>45772</v>
      </c>
      <c r="B72" s="13" t="s">
        <v>103</v>
      </c>
      <c r="C72" s="1" t="s">
        <v>92</v>
      </c>
      <c r="D72" s="1" t="s">
        <v>33</v>
      </c>
      <c r="E72" s="1" t="s">
        <v>18</v>
      </c>
      <c r="F72" s="1" t="s">
        <v>55</v>
      </c>
      <c r="G72" s="1" t="s">
        <v>41</v>
      </c>
      <c r="H72" s="1" t="s">
        <v>52</v>
      </c>
      <c r="I72" s="3">
        <v>13</v>
      </c>
      <c r="J72" s="3">
        <v>20</v>
      </c>
      <c r="K72" s="1" t="s">
        <v>66</v>
      </c>
      <c r="L72" s="1" t="s">
        <v>86</v>
      </c>
      <c r="M72" s="1" t="s">
        <v>87</v>
      </c>
    </row>
    <row r="73" spans="1:13" ht="27.6">
      <c r="A73" s="2">
        <v>45757</v>
      </c>
      <c r="B73" s="13" t="s">
        <v>103</v>
      </c>
      <c r="C73" s="1" t="s">
        <v>92</v>
      </c>
      <c r="D73" s="1" t="s">
        <v>30</v>
      </c>
      <c r="E73" s="1" t="s">
        <v>26</v>
      </c>
      <c r="F73" s="1" t="s">
        <v>59</v>
      </c>
      <c r="G73" s="1" t="s">
        <v>35</v>
      </c>
      <c r="H73" s="1" t="s">
        <v>51</v>
      </c>
      <c r="I73" s="3">
        <v>8</v>
      </c>
      <c r="J73" s="3">
        <v>20</v>
      </c>
      <c r="K73" s="1" t="s">
        <v>66</v>
      </c>
      <c r="L73" s="1" t="s">
        <v>90</v>
      </c>
      <c r="M73" s="1" t="s">
        <v>102</v>
      </c>
    </row>
    <row r="74" spans="1:13" ht="27.6">
      <c r="A74" s="2">
        <v>45773</v>
      </c>
      <c r="B74" s="13" t="s">
        <v>103</v>
      </c>
      <c r="C74" s="1" t="s">
        <v>85</v>
      </c>
      <c r="D74" s="1" t="s">
        <v>30</v>
      </c>
      <c r="E74" s="1" t="s">
        <v>20</v>
      </c>
      <c r="F74" s="1" t="s">
        <v>55</v>
      </c>
      <c r="G74" s="1" t="s">
        <v>42</v>
      </c>
      <c r="H74" s="1" t="s">
        <v>51</v>
      </c>
      <c r="I74" s="3">
        <v>10</v>
      </c>
      <c r="J74" s="3">
        <v>20</v>
      </c>
      <c r="K74" s="1" t="s">
        <v>66</v>
      </c>
      <c r="L74" s="1" t="s">
        <v>86</v>
      </c>
      <c r="M74" s="1" t="s">
        <v>102</v>
      </c>
    </row>
    <row r="75" spans="1:13" ht="27.6">
      <c r="A75" s="2">
        <v>45761</v>
      </c>
      <c r="B75" s="13" t="s">
        <v>103</v>
      </c>
      <c r="C75" s="1" t="s">
        <v>85</v>
      </c>
      <c r="D75" s="1" t="s">
        <v>33</v>
      </c>
      <c r="E75" s="1" t="s">
        <v>18</v>
      </c>
      <c r="F75" s="1" t="s">
        <v>60</v>
      </c>
      <c r="G75" s="1" t="s">
        <v>37</v>
      </c>
      <c r="H75" s="1" t="s">
        <v>52</v>
      </c>
      <c r="I75" s="3">
        <v>4</v>
      </c>
      <c r="J75" s="3">
        <v>20</v>
      </c>
      <c r="K75" s="1" t="s">
        <v>66</v>
      </c>
      <c r="L75" s="1" t="s">
        <v>86</v>
      </c>
      <c r="M75" s="1" t="s">
        <v>87</v>
      </c>
    </row>
    <row r="76" spans="1:13">
      <c r="A76" s="2">
        <v>45773</v>
      </c>
      <c r="B76" s="13" t="s">
        <v>103</v>
      </c>
      <c r="C76" s="1" t="s">
        <v>85</v>
      </c>
      <c r="D76" s="1" t="s">
        <v>29</v>
      </c>
      <c r="E76" s="1" t="s">
        <v>25</v>
      </c>
      <c r="F76" s="1" t="s">
        <v>56</v>
      </c>
      <c r="G76" s="1" t="s">
        <v>37</v>
      </c>
      <c r="H76" s="1" t="s">
        <v>53</v>
      </c>
      <c r="I76" s="3">
        <v>6</v>
      </c>
      <c r="J76" s="3">
        <v>30</v>
      </c>
      <c r="K76" s="1" t="s">
        <v>66</v>
      </c>
      <c r="L76" s="1" t="s">
        <v>90</v>
      </c>
      <c r="M76" s="1" t="s">
        <v>87</v>
      </c>
    </row>
    <row r="77" spans="1:13">
      <c r="A77" s="2">
        <v>45763</v>
      </c>
      <c r="B77" s="13" t="s">
        <v>103</v>
      </c>
      <c r="C77" s="1" t="s">
        <v>93</v>
      </c>
      <c r="D77" s="1" t="s">
        <v>32</v>
      </c>
      <c r="E77" s="1" t="s">
        <v>25</v>
      </c>
      <c r="F77" s="1" t="s">
        <v>58</v>
      </c>
      <c r="G77" s="1" t="s">
        <v>36</v>
      </c>
      <c r="H77" s="1" t="s">
        <v>51</v>
      </c>
      <c r="I77" s="3">
        <v>1</v>
      </c>
      <c r="J77" s="3">
        <v>20</v>
      </c>
      <c r="K77" s="1" t="s">
        <v>66</v>
      </c>
      <c r="L77" s="1" t="s">
        <v>90</v>
      </c>
      <c r="M77" s="1" t="s">
        <v>91</v>
      </c>
    </row>
    <row r="78" spans="1:13" ht="27.6">
      <c r="A78" s="2">
        <v>45771</v>
      </c>
      <c r="B78" s="13" t="s">
        <v>103</v>
      </c>
      <c r="C78" s="1" t="s">
        <v>85</v>
      </c>
      <c r="D78" s="1" t="s">
        <v>31</v>
      </c>
      <c r="E78" s="1" t="s">
        <v>18</v>
      </c>
      <c r="F78" s="1" t="s">
        <v>59</v>
      </c>
      <c r="G78" s="1" t="s">
        <v>45</v>
      </c>
      <c r="H78" s="1" t="s">
        <v>51</v>
      </c>
      <c r="I78" s="3">
        <v>6</v>
      </c>
      <c r="J78" s="3">
        <v>20</v>
      </c>
      <c r="K78" s="1" t="s">
        <v>66</v>
      </c>
      <c r="L78" s="1" t="s">
        <v>86</v>
      </c>
      <c r="M78" s="1" t="s">
        <v>97</v>
      </c>
    </row>
    <row r="79" spans="1:13" ht="27.6">
      <c r="A79" s="2">
        <v>45749</v>
      </c>
      <c r="B79" s="13" t="s">
        <v>103</v>
      </c>
      <c r="C79" s="1" t="s">
        <v>92</v>
      </c>
      <c r="D79" s="1" t="s">
        <v>30</v>
      </c>
      <c r="E79" s="1" t="s">
        <v>19</v>
      </c>
      <c r="F79" s="1" t="s">
        <v>59</v>
      </c>
      <c r="G79" s="1" t="s">
        <v>41</v>
      </c>
      <c r="H79" s="1" t="s">
        <v>53</v>
      </c>
      <c r="I79" s="3">
        <v>4</v>
      </c>
      <c r="J79" s="3">
        <v>20</v>
      </c>
      <c r="K79" s="1" t="s">
        <v>66</v>
      </c>
      <c r="L79" s="1" t="s">
        <v>90</v>
      </c>
      <c r="M79" s="1" t="s">
        <v>89</v>
      </c>
    </row>
    <row r="80" spans="1:13">
      <c r="A80" s="2">
        <v>45763</v>
      </c>
      <c r="B80" s="13" t="s">
        <v>103</v>
      </c>
      <c r="C80" s="1" t="s">
        <v>92</v>
      </c>
      <c r="D80" s="1" t="s">
        <v>28</v>
      </c>
      <c r="E80" s="1" t="s">
        <v>23</v>
      </c>
      <c r="F80" s="1" t="s">
        <v>56</v>
      </c>
      <c r="G80" s="1" t="s">
        <v>36</v>
      </c>
      <c r="H80" s="1" t="s">
        <v>51</v>
      </c>
      <c r="I80" s="3">
        <v>2</v>
      </c>
      <c r="J80" s="3">
        <v>30</v>
      </c>
      <c r="K80" s="1" t="s">
        <v>66</v>
      </c>
      <c r="L80" s="1" t="s">
        <v>86</v>
      </c>
      <c r="M80" s="1" t="s">
        <v>100</v>
      </c>
    </row>
    <row r="81" spans="1:13" ht="27.6">
      <c r="A81" s="2">
        <v>45785</v>
      </c>
      <c r="B81" s="13" t="s">
        <v>104</v>
      </c>
      <c r="C81" s="1" t="s">
        <v>85</v>
      </c>
      <c r="D81" s="1" t="s">
        <v>30</v>
      </c>
      <c r="E81" s="1" t="s">
        <v>17</v>
      </c>
      <c r="F81" s="1" t="s">
        <v>55</v>
      </c>
      <c r="G81" s="1" t="s">
        <v>37</v>
      </c>
      <c r="H81" s="1" t="s">
        <v>50</v>
      </c>
      <c r="I81" s="3">
        <v>19</v>
      </c>
      <c r="J81" s="3">
        <v>20</v>
      </c>
      <c r="K81" s="1" t="s">
        <v>66</v>
      </c>
      <c r="L81" s="1" t="s">
        <v>83</v>
      </c>
      <c r="M81" s="1" t="s">
        <v>102</v>
      </c>
    </row>
    <row r="82" spans="1:13">
      <c r="A82" s="2">
        <v>45790</v>
      </c>
      <c r="B82" s="13" t="s">
        <v>104</v>
      </c>
      <c r="C82" s="1" t="s">
        <v>95</v>
      </c>
      <c r="D82" s="1" t="s">
        <v>29</v>
      </c>
      <c r="E82" s="1" t="s">
        <v>20</v>
      </c>
      <c r="F82" s="1" t="s">
        <v>56</v>
      </c>
      <c r="G82" s="1" t="s">
        <v>45</v>
      </c>
      <c r="H82" s="1" t="s">
        <v>51</v>
      </c>
      <c r="I82" s="3">
        <v>15</v>
      </c>
      <c r="J82" s="3">
        <v>30</v>
      </c>
      <c r="K82" s="1" t="s">
        <v>66</v>
      </c>
      <c r="L82" s="1" t="s">
        <v>90</v>
      </c>
      <c r="M82" s="1" t="s">
        <v>87</v>
      </c>
    </row>
    <row r="83" spans="1:13" ht="27.6">
      <c r="A83" s="2">
        <v>45802</v>
      </c>
      <c r="B83" s="13" t="s">
        <v>104</v>
      </c>
      <c r="C83" s="1" t="s">
        <v>95</v>
      </c>
      <c r="D83" s="1" t="s">
        <v>30</v>
      </c>
      <c r="E83" s="1" t="s">
        <v>20</v>
      </c>
      <c r="F83" s="1" t="s">
        <v>61</v>
      </c>
      <c r="G83" s="1" t="s">
        <v>37</v>
      </c>
      <c r="H83" s="1" t="s">
        <v>51</v>
      </c>
      <c r="I83" s="3">
        <v>6</v>
      </c>
      <c r="J83" s="3">
        <v>20</v>
      </c>
      <c r="K83" s="1" t="s">
        <v>66</v>
      </c>
      <c r="L83" s="1" t="s">
        <v>83</v>
      </c>
      <c r="M83" s="1" t="s">
        <v>94</v>
      </c>
    </row>
    <row r="84" spans="1:13" ht="27.6">
      <c r="A84" s="2">
        <v>45807</v>
      </c>
      <c r="B84" s="13" t="s">
        <v>104</v>
      </c>
      <c r="C84" s="1" t="s">
        <v>85</v>
      </c>
      <c r="D84" s="1" t="s">
        <v>32</v>
      </c>
      <c r="E84" s="1" t="s">
        <v>20</v>
      </c>
      <c r="F84" s="1" t="s">
        <v>56</v>
      </c>
      <c r="G84" s="1" t="s">
        <v>37</v>
      </c>
      <c r="H84" s="1" t="s">
        <v>51</v>
      </c>
      <c r="I84" s="3">
        <v>10</v>
      </c>
      <c r="J84" s="3">
        <v>20</v>
      </c>
      <c r="K84" s="1" t="s">
        <v>66</v>
      </c>
      <c r="L84" s="1" t="s">
        <v>86</v>
      </c>
      <c r="M84" s="1" t="s">
        <v>97</v>
      </c>
    </row>
    <row r="85" spans="1:13">
      <c r="A85" s="2">
        <v>45786</v>
      </c>
      <c r="B85" s="13" t="s">
        <v>104</v>
      </c>
      <c r="C85" s="1" t="s">
        <v>85</v>
      </c>
      <c r="D85" s="1" t="s">
        <v>32</v>
      </c>
      <c r="E85" s="1" t="s">
        <v>26</v>
      </c>
      <c r="F85" s="1" t="s">
        <v>58</v>
      </c>
      <c r="G85" s="1" t="s">
        <v>40</v>
      </c>
      <c r="H85" s="1" t="s">
        <v>52</v>
      </c>
      <c r="I85" s="3">
        <v>8</v>
      </c>
      <c r="J85" s="3">
        <v>20</v>
      </c>
      <c r="K85" s="1" t="s">
        <v>66</v>
      </c>
      <c r="L85" s="1" t="s">
        <v>90</v>
      </c>
      <c r="M85" s="1" t="s">
        <v>100</v>
      </c>
    </row>
    <row r="86" spans="1:13" ht="27.6">
      <c r="A86" s="2">
        <v>45782</v>
      </c>
      <c r="B86" s="13" t="s">
        <v>104</v>
      </c>
      <c r="C86" s="1" t="s">
        <v>92</v>
      </c>
      <c r="D86" s="1" t="s">
        <v>31</v>
      </c>
      <c r="E86" s="1" t="s">
        <v>23</v>
      </c>
      <c r="F86" s="1" t="s">
        <v>60</v>
      </c>
      <c r="G86" s="1" t="s">
        <v>41</v>
      </c>
      <c r="H86" s="1" t="s">
        <v>51</v>
      </c>
      <c r="I86" s="3">
        <v>11</v>
      </c>
      <c r="J86" s="3">
        <v>20</v>
      </c>
      <c r="K86" s="1" t="s">
        <v>66</v>
      </c>
      <c r="L86" s="1" t="s">
        <v>86</v>
      </c>
      <c r="M86" s="1" t="s">
        <v>87</v>
      </c>
    </row>
    <row r="87" spans="1:13" ht="27.6">
      <c r="A87" s="2">
        <v>45784</v>
      </c>
      <c r="B87" s="13" t="s">
        <v>104</v>
      </c>
      <c r="C87" s="1" t="s">
        <v>88</v>
      </c>
      <c r="D87" s="1" t="s">
        <v>29</v>
      </c>
      <c r="E87" s="1" t="s">
        <v>18</v>
      </c>
      <c r="F87" s="1" t="s">
        <v>59</v>
      </c>
      <c r="G87" s="1" t="s">
        <v>36</v>
      </c>
      <c r="H87" s="1" t="s">
        <v>49</v>
      </c>
      <c r="I87" s="3">
        <v>18</v>
      </c>
      <c r="J87" s="3">
        <v>30</v>
      </c>
      <c r="K87" s="1" t="s">
        <v>66</v>
      </c>
      <c r="L87" s="1" t="s">
        <v>90</v>
      </c>
      <c r="M87" s="1" t="s">
        <v>98</v>
      </c>
    </row>
    <row r="88" spans="1:13">
      <c r="A88" s="2">
        <v>45786</v>
      </c>
      <c r="B88" s="13" t="s">
        <v>104</v>
      </c>
      <c r="C88" s="1" t="s">
        <v>82</v>
      </c>
      <c r="D88" s="1" t="s">
        <v>32</v>
      </c>
      <c r="E88" s="1" t="s">
        <v>20</v>
      </c>
      <c r="F88" s="1" t="s">
        <v>55</v>
      </c>
      <c r="G88" s="1" t="s">
        <v>39</v>
      </c>
      <c r="H88" s="1" t="s">
        <v>51</v>
      </c>
      <c r="I88" s="3">
        <v>12</v>
      </c>
      <c r="J88" s="3">
        <v>20</v>
      </c>
      <c r="K88" s="1" t="s">
        <v>66</v>
      </c>
      <c r="L88" s="1" t="s">
        <v>90</v>
      </c>
      <c r="M88" s="1" t="s">
        <v>87</v>
      </c>
    </row>
    <row r="89" spans="1:13">
      <c r="A89" s="2">
        <v>45781</v>
      </c>
      <c r="B89" s="13" t="s">
        <v>104</v>
      </c>
      <c r="C89" s="1" t="s">
        <v>93</v>
      </c>
      <c r="D89" s="1" t="s">
        <v>29</v>
      </c>
      <c r="E89" s="1" t="s">
        <v>17</v>
      </c>
      <c r="F89" s="1" t="s">
        <v>61</v>
      </c>
      <c r="G89" s="1" t="s">
        <v>37</v>
      </c>
      <c r="H89" s="1" t="s">
        <v>51</v>
      </c>
      <c r="I89" s="3">
        <v>6</v>
      </c>
      <c r="J89" s="3">
        <v>30</v>
      </c>
      <c r="K89" s="1" t="s">
        <v>66</v>
      </c>
      <c r="L89" s="1" t="s">
        <v>86</v>
      </c>
      <c r="M89" s="1" t="s">
        <v>96</v>
      </c>
    </row>
    <row r="90" spans="1:13">
      <c r="A90" s="2">
        <v>45797</v>
      </c>
      <c r="B90" s="13" t="s">
        <v>104</v>
      </c>
      <c r="C90" s="1" t="s">
        <v>92</v>
      </c>
      <c r="D90" s="1" t="s">
        <v>32</v>
      </c>
      <c r="E90" s="1" t="s">
        <v>24</v>
      </c>
      <c r="F90" s="1" t="s">
        <v>56</v>
      </c>
      <c r="G90" s="1" t="s">
        <v>43</v>
      </c>
      <c r="H90" s="1" t="s">
        <v>51</v>
      </c>
      <c r="I90" s="3">
        <v>22</v>
      </c>
      <c r="J90" s="3">
        <v>20</v>
      </c>
      <c r="K90" s="1" t="s">
        <v>65</v>
      </c>
      <c r="L90" s="1" t="s">
        <v>83</v>
      </c>
      <c r="M90" s="1" t="s">
        <v>96</v>
      </c>
    </row>
    <row r="91" spans="1:13" ht="27.6">
      <c r="A91" s="2">
        <v>45793</v>
      </c>
      <c r="B91" s="13" t="s">
        <v>104</v>
      </c>
      <c r="C91" s="1" t="s">
        <v>95</v>
      </c>
      <c r="D91" s="1" t="s">
        <v>30</v>
      </c>
      <c r="E91" s="1" t="s">
        <v>17</v>
      </c>
      <c r="F91" s="1" t="s">
        <v>62</v>
      </c>
      <c r="G91" s="1" t="s">
        <v>41</v>
      </c>
      <c r="H91" s="1" t="s">
        <v>52</v>
      </c>
      <c r="I91" s="3">
        <v>1</v>
      </c>
      <c r="J91" s="3">
        <v>20</v>
      </c>
      <c r="K91" s="1" t="s">
        <v>66</v>
      </c>
      <c r="L91" s="1" t="s">
        <v>90</v>
      </c>
      <c r="M91" s="1" t="s">
        <v>84</v>
      </c>
    </row>
    <row r="92" spans="1:13" ht="27.6">
      <c r="A92" s="2">
        <v>45791</v>
      </c>
      <c r="B92" s="13" t="s">
        <v>104</v>
      </c>
      <c r="C92" s="1" t="s">
        <v>88</v>
      </c>
      <c r="D92" s="1" t="s">
        <v>31</v>
      </c>
      <c r="E92" s="1" t="s">
        <v>25</v>
      </c>
      <c r="F92" s="1" t="s">
        <v>56</v>
      </c>
      <c r="G92" s="1" t="s">
        <v>41</v>
      </c>
      <c r="H92" s="1" t="s">
        <v>51</v>
      </c>
      <c r="I92" s="3">
        <v>15</v>
      </c>
      <c r="J92" s="3">
        <v>20</v>
      </c>
      <c r="K92" s="1" t="s">
        <v>66</v>
      </c>
      <c r="L92" s="1" t="s">
        <v>90</v>
      </c>
      <c r="M92" s="1" t="s">
        <v>97</v>
      </c>
    </row>
    <row r="93" spans="1:13">
      <c r="A93" s="2">
        <v>45804</v>
      </c>
      <c r="B93" s="13" t="s">
        <v>104</v>
      </c>
      <c r="C93" s="1" t="s">
        <v>95</v>
      </c>
      <c r="D93" s="1" t="s">
        <v>32</v>
      </c>
      <c r="E93" s="1" t="s">
        <v>26</v>
      </c>
      <c r="F93" s="1" t="s">
        <v>59</v>
      </c>
      <c r="G93" s="1" t="s">
        <v>37</v>
      </c>
      <c r="H93" s="1" t="s">
        <v>51</v>
      </c>
      <c r="I93" s="3">
        <v>9</v>
      </c>
      <c r="J93" s="3">
        <v>20</v>
      </c>
      <c r="K93" s="1" t="s">
        <v>66</v>
      </c>
      <c r="L93" s="1" t="s">
        <v>90</v>
      </c>
      <c r="M93" s="1" t="s">
        <v>84</v>
      </c>
    </row>
    <row r="94" spans="1:13">
      <c r="A94" s="2">
        <v>45782</v>
      </c>
      <c r="B94" s="13" t="s">
        <v>104</v>
      </c>
      <c r="C94" s="1" t="s">
        <v>85</v>
      </c>
      <c r="D94" s="1" t="s">
        <v>28</v>
      </c>
      <c r="E94" s="1" t="s">
        <v>20</v>
      </c>
      <c r="F94" s="1" t="s">
        <v>59</v>
      </c>
      <c r="G94" s="1" t="s">
        <v>36</v>
      </c>
      <c r="H94" s="1" t="s">
        <v>51</v>
      </c>
      <c r="I94" s="3">
        <v>13</v>
      </c>
      <c r="J94" s="3">
        <v>30</v>
      </c>
      <c r="K94" s="1" t="s">
        <v>66</v>
      </c>
      <c r="L94" s="1" t="s">
        <v>90</v>
      </c>
      <c r="M94" s="1" t="s">
        <v>96</v>
      </c>
    </row>
    <row r="95" spans="1:13">
      <c r="A95" s="2">
        <v>45782</v>
      </c>
      <c r="B95" s="13" t="s">
        <v>104</v>
      </c>
      <c r="C95" s="1" t="s">
        <v>85</v>
      </c>
      <c r="D95" s="1" t="s">
        <v>31</v>
      </c>
      <c r="E95" s="1" t="s">
        <v>17</v>
      </c>
      <c r="F95" s="1" t="s">
        <v>61</v>
      </c>
      <c r="G95" s="1" t="s">
        <v>37</v>
      </c>
      <c r="H95" s="1" t="s">
        <v>52</v>
      </c>
      <c r="I95" s="3">
        <v>2</v>
      </c>
      <c r="J95" s="3">
        <v>20</v>
      </c>
      <c r="K95" s="1" t="s">
        <v>66</v>
      </c>
      <c r="L95" s="1" t="s">
        <v>86</v>
      </c>
      <c r="M95" s="1" t="s">
        <v>87</v>
      </c>
    </row>
    <row r="96" spans="1:13" ht="27.6">
      <c r="A96" s="2">
        <v>45827</v>
      </c>
      <c r="B96" s="13" t="s">
        <v>105</v>
      </c>
      <c r="C96" s="1" t="s">
        <v>85</v>
      </c>
      <c r="D96" s="1" t="s">
        <v>30</v>
      </c>
      <c r="E96" s="1" t="s">
        <v>19</v>
      </c>
      <c r="F96" s="1" t="s">
        <v>59</v>
      </c>
      <c r="G96" s="1" t="s">
        <v>44</v>
      </c>
      <c r="H96" s="1" t="s">
        <v>50</v>
      </c>
      <c r="I96" s="3">
        <v>18</v>
      </c>
      <c r="J96" s="3">
        <v>20</v>
      </c>
      <c r="K96" s="1" t="s">
        <v>66</v>
      </c>
      <c r="L96" s="1" t="s">
        <v>90</v>
      </c>
      <c r="M96" s="1" t="s">
        <v>97</v>
      </c>
    </row>
    <row r="97" spans="1:13">
      <c r="A97" s="2">
        <v>45832</v>
      </c>
      <c r="B97" s="13" t="s">
        <v>105</v>
      </c>
      <c r="C97" s="1" t="s">
        <v>85</v>
      </c>
      <c r="D97" s="1" t="s">
        <v>32</v>
      </c>
      <c r="E97" s="1" t="s">
        <v>16</v>
      </c>
      <c r="F97" s="1" t="s">
        <v>56</v>
      </c>
      <c r="G97" s="1" t="s">
        <v>37</v>
      </c>
      <c r="H97" s="1" t="s">
        <v>51</v>
      </c>
      <c r="I97" s="3">
        <v>3</v>
      </c>
      <c r="J97" s="3">
        <v>20</v>
      </c>
      <c r="K97" s="1" t="s">
        <v>66</v>
      </c>
      <c r="L97" s="1" t="s">
        <v>86</v>
      </c>
      <c r="M97" s="1" t="s">
        <v>102</v>
      </c>
    </row>
    <row r="98" spans="1:13">
      <c r="A98" s="2">
        <v>45822</v>
      </c>
      <c r="B98" s="13" t="s">
        <v>105</v>
      </c>
      <c r="C98" s="1" t="s">
        <v>95</v>
      </c>
      <c r="D98" s="1" t="s">
        <v>29</v>
      </c>
      <c r="E98" s="1" t="s">
        <v>20</v>
      </c>
      <c r="F98" s="1" t="s">
        <v>56</v>
      </c>
      <c r="G98" s="1" t="s">
        <v>36</v>
      </c>
      <c r="H98" s="1" t="s">
        <v>50</v>
      </c>
      <c r="I98" s="3">
        <v>1</v>
      </c>
      <c r="J98" s="3">
        <v>30</v>
      </c>
      <c r="K98" s="1" t="s">
        <v>66</v>
      </c>
      <c r="L98" s="1" t="s">
        <v>86</v>
      </c>
      <c r="M98" s="1" t="s">
        <v>100</v>
      </c>
    </row>
    <row r="99" spans="1:13" ht="27.6">
      <c r="A99" s="2">
        <v>45823</v>
      </c>
      <c r="B99" s="13" t="s">
        <v>105</v>
      </c>
      <c r="C99" s="1" t="s">
        <v>93</v>
      </c>
      <c r="D99" s="1" t="s">
        <v>30</v>
      </c>
      <c r="E99" s="1" t="s">
        <v>22</v>
      </c>
      <c r="F99" s="1" t="s">
        <v>55</v>
      </c>
      <c r="G99" s="1" t="s">
        <v>42</v>
      </c>
      <c r="H99" s="1" t="s">
        <v>52</v>
      </c>
      <c r="I99" s="3">
        <v>11</v>
      </c>
      <c r="J99" s="3">
        <v>20</v>
      </c>
      <c r="K99" s="1" t="s">
        <v>66</v>
      </c>
      <c r="L99" s="1" t="s">
        <v>86</v>
      </c>
      <c r="M99" s="1" t="s">
        <v>84</v>
      </c>
    </row>
    <row r="100" spans="1:13" ht="27.6">
      <c r="A100" s="2">
        <v>45816</v>
      </c>
      <c r="B100" s="13" t="s">
        <v>105</v>
      </c>
      <c r="C100" s="1" t="s">
        <v>88</v>
      </c>
      <c r="D100" s="1" t="s">
        <v>28</v>
      </c>
      <c r="E100" s="1" t="s">
        <v>18</v>
      </c>
      <c r="F100" s="1" t="s">
        <v>60</v>
      </c>
      <c r="G100" s="1" t="s">
        <v>37</v>
      </c>
      <c r="H100" s="1" t="s">
        <v>52</v>
      </c>
      <c r="I100" s="3">
        <v>5</v>
      </c>
      <c r="J100" s="3">
        <v>30</v>
      </c>
      <c r="K100" s="1" t="s">
        <v>66</v>
      </c>
      <c r="L100" s="1" t="s">
        <v>90</v>
      </c>
      <c r="M100" s="1" t="s">
        <v>98</v>
      </c>
    </row>
    <row r="101" spans="1:13">
      <c r="A101" s="2">
        <v>45825</v>
      </c>
      <c r="B101" s="13" t="s">
        <v>105</v>
      </c>
      <c r="C101" s="1" t="s">
        <v>92</v>
      </c>
      <c r="D101" s="1" t="s">
        <v>29</v>
      </c>
      <c r="E101" s="1" t="s">
        <v>15</v>
      </c>
      <c r="F101" s="1" t="s">
        <v>57</v>
      </c>
      <c r="G101" s="1" t="s">
        <v>37</v>
      </c>
      <c r="H101" s="1" t="s">
        <v>51</v>
      </c>
      <c r="I101" s="3">
        <v>4</v>
      </c>
      <c r="J101" s="3">
        <v>30</v>
      </c>
      <c r="K101" s="1" t="s">
        <v>66</v>
      </c>
      <c r="L101" s="1" t="s">
        <v>90</v>
      </c>
      <c r="M101" s="1" t="s">
        <v>84</v>
      </c>
    </row>
    <row r="102" spans="1:13">
      <c r="A102" s="2">
        <v>45810</v>
      </c>
      <c r="B102" s="13" t="s">
        <v>105</v>
      </c>
      <c r="C102" s="1" t="s">
        <v>93</v>
      </c>
      <c r="D102" s="1" t="s">
        <v>31</v>
      </c>
      <c r="E102" s="1" t="s">
        <v>22</v>
      </c>
      <c r="F102" s="1" t="s">
        <v>57</v>
      </c>
      <c r="G102" s="1" t="s">
        <v>42</v>
      </c>
      <c r="H102" s="1" t="s">
        <v>51</v>
      </c>
      <c r="I102" s="3">
        <v>25</v>
      </c>
      <c r="J102" s="3">
        <v>20</v>
      </c>
      <c r="K102" s="1" t="s">
        <v>65</v>
      </c>
      <c r="L102" s="1" t="s">
        <v>86</v>
      </c>
      <c r="M102" s="1" t="s">
        <v>98</v>
      </c>
    </row>
    <row r="103" spans="1:13" ht="27.6">
      <c r="A103" s="2">
        <v>45834</v>
      </c>
      <c r="B103" s="13" t="s">
        <v>105</v>
      </c>
      <c r="C103" s="1" t="s">
        <v>85</v>
      </c>
      <c r="D103" s="1" t="s">
        <v>30</v>
      </c>
      <c r="E103" s="1" t="s">
        <v>20</v>
      </c>
      <c r="F103" s="1" t="s">
        <v>55</v>
      </c>
      <c r="G103" s="1" t="s">
        <v>36</v>
      </c>
      <c r="H103" s="1" t="s">
        <v>51</v>
      </c>
      <c r="I103" s="3">
        <v>10</v>
      </c>
      <c r="J103" s="3">
        <v>20</v>
      </c>
      <c r="K103" s="1" t="s">
        <v>66</v>
      </c>
      <c r="L103" s="1" t="s">
        <v>90</v>
      </c>
      <c r="M103" s="1" t="s">
        <v>97</v>
      </c>
    </row>
    <row r="104" spans="1:13">
      <c r="A104" s="2">
        <v>45811</v>
      </c>
      <c r="B104" s="13" t="s">
        <v>105</v>
      </c>
      <c r="C104" s="1" t="s">
        <v>85</v>
      </c>
      <c r="D104" s="1" t="s">
        <v>32</v>
      </c>
      <c r="E104" s="1" t="s">
        <v>21</v>
      </c>
      <c r="F104" s="1" t="s">
        <v>57</v>
      </c>
      <c r="G104" s="1" t="s">
        <v>47</v>
      </c>
      <c r="H104" s="1" t="s">
        <v>51</v>
      </c>
      <c r="I104" s="3">
        <v>3</v>
      </c>
      <c r="J104" s="3">
        <v>20</v>
      </c>
      <c r="K104" s="1" t="s">
        <v>66</v>
      </c>
      <c r="L104" s="1" t="s">
        <v>86</v>
      </c>
      <c r="M104" s="1" t="s">
        <v>87</v>
      </c>
    </row>
    <row r="105" spans="1:13">
      <c r="A105" s="2">
        <v>45835</v>
      </c>
      <c r="B105" s="13" t="s">
        <v>105</v>
      </c>
      <c r="C105" s="1" t="s">
        <v>92</v>
      </c>
      <c r="D105" s="1" t="s">
        <v>32</v>
      </c>
      <c r="E105" s="1" t="s">
        <v>21</v>
      </c>
      <c r="F105" s="1" t="s">
        <v>61</v>
      </c>
      <c r="G105" s="1" t="s">
        <v>45</v>
      </c>
      <c r="H105" s="1" t="s">
        <v>52</v>
      </c>
      <c r="I105" s="3">
        <v>13</v>
      </c>
      <c r="J105" s="3">
        <v>20</v>
      </c>
      <c r="K105" s="1" t="s">
        <v>66</v>
      </c>
      <c r="L105" s="1" t="s">
        <v>86</v>
      </c>
      <c r="M105" s="1" t="s">
        <v>98</v>
      </c>
    </row>
    <row r="106" spans="1:13" ht="27.6">
      <c r="A106" s="2">
        <v>45809</v>
      </c>
      <c r="B106" s="13" t="s">
        <v>105</v>
      </c>
      <c r="C106" s="1" t="s">
        <v>93</v>
      </c>
      <c r="D106" s="1" t="s">
        <v>33</v>
      </c>
      <c r="E106" s="1" t="s">
        <v>23</v>
      </c>
      <c r="F106" s="1" t="s">
        <v>59</v>
      </c>
      <c r="G106" s="1" t="s">
        <v>36</v>
      </c>
      <c r="H106" s="1" t="s">
        <v>53</v>
      </c>
      <c r="I106" s="3">
        <v>11</v>
      </c>
      <c r="J106" s="3">
        <v>20</v>
      </c>
      <c r="K106" s="1" t="s">
        <v>66</v>
      </c>
      <c r="L106" s="1" t="s">
        <v>90</v>
      </c>
      <c r="M106" s="1" t="s">
        <v>97</v>
      </c>
    </row>
    <row r="107" spans="1:13">
      <c r="A107" s="2">
        <v>45820</v>
      </c>
      <c r="B107" s="13" t="s">
        <v>105</v>
      </c>
      <c r="C107" s="1" t="s">
        <v>85</v>
      </c>
      <c r="D107" s="1" t="s">
        <v>31</v>
      </c>
      <c r="E107" s="1" t="s">
        <v>16</v>
      </c>
      <c r="F107" s="1" t="s">
        <v>56</v>
      </c>
      <c r="G107" s="1" t="s">
        <v>36</v>
      </c>
      <c r="H107" s="1" t="s">
        <v>51</v>
      </c>
      <c r="I107" s="3">
        <v>13</v>
      </c>
      <c r="J107" s="3">
        <v>20</v>
      </c>
      <c r="K107" s="1" t="s">
        <v>66</v>
      </c>
      <c r="L107" s="1" t="s">
        <v>90</v>
      </c>
      <c r="M107" s="1" t="s">
        <v>87</v>
      </c>
    </row>
    <row r="108" spans="1:13" ht="27.6">
      <c r="A108" s="2">
        <v>45833</v>
      </c>
      <c r="B108" s="13" t="s">
        <v>105</v>
      </c>
      <c r="C108" s="1" t="s">
        <v>93</v>
      </c>
      <c r="D108" s="1" t="s">
        <v>29</v>
      </c>
      <c r="E108" s="1" t="s">
        <v>22</v>
      </c>
      <c r="F108" s="1" t="s">
        <v>62</v>
      </c>
      <c r="G108" s="1" t="s">
        <v>42</v>
      </c>
      <c r="H108" s="1" t="s">
        <v>52</v>
      </c>
      <c r="I108" s="3">
        <v>5</v>
      </c>
      <c r="J108" s="3">
        <v>30</v>
      </c>
      <c r="K108" s="1" t="s">
        <v>66</v>
      </c>
      <c r="L108" s="1" t="s">
        <v>86</v>
      </c>
      <c r="M108" s="1" t="s">
        <v>97</v>
      </c>
    </row>
    <row r="109" spans="1:13" ht="27.6">
      <c r="A109" s="2">
        <v>45843</v>
      </c>
      <c r="B109" s="13" t="s">
        <v>106</v>
      </c>
      <c r="C109" s="1" t="s">
        <v>88</v>
      </c>
      <c r="D109" s="1" t="s">
        <v>32</v>
      </c>
      <c r="E109" s="1" t="s">
        <v>18</v>
      </c>
      <c r="F109" s="1" t="s">
        <v>55</v>
      </c>
      <c r="G109" s="1" t="s">
        <v>41</v>
      </c>
      <c r="H109" s="1" t="s">
        <v>49</v>
      </c>
      <c r="I109" s="3">
        <v>16</v>
      </c>
      <c r="J109" s="3">
        <v>20</v>
      </c>
      <c r="K109" s="1" t="s">
        <v>66</v>
      </c>
      <c r="L109" s="1" t="s">
        <v>90</v>
      </c>
      <c r="M109" s="1" t="s">
        <v>102</v>
      </c>
    </row>
    <row r="110" spans="1:13">
      <c r="A110" s="2">
        <v>45864</v>
      </c>
      <c r="B110" s="13" t="s">
        <v>106</v>
      </c>
      <c r="C110" s="1" t="s">
        <v>95</v>
      </c>
      <c r="D110" s="1" t="s">
        <v>29</v>
      </c>
      <c r="E110" s="1" t="s">
        <v>23</v>
      </c>
      <c r="F110" s="1" t="s">
        <v>62</v>
      </c>
      <c r="G110" s="1" t="s">
        <v>37</v>
      </c>
      <c r="H110" s="1" t="s">
        <v>51</v>
      </c>
      <c r="I110" s="3">
        <v>9</v>
      </c>
      <c r="J110" s="3">
        <v>30</v>
      </c>
      <c r="K110" s="1" t="s">
        <v>66</v>
      </c>
      <c r="L110" s="1" t="s">
        <v>90</v>
      </c>
      <c r="M110" s="1" t="s">
        <v>96</v>
      </c>
    </row>
    <row r="111" spans="1:13">
      <c r="A111" s="2">
        <v>45866</v>
      </c>
      <c r="B111" s="13" t="s">
        <v>106</v>
      </c>
      <c r="C111" s="1" t="s">
        <v>85</v>
      </c>
      <c r="D111" s="1" t="s">
        <v>31</v>
      </c>
      <c r="E111" s="1" t="s">
        <v>25</v>
      </c>
      <c r="F111" s="1" t="s">
        <v>58</v>
      </c>
      <c r="G111" s="1" t="s">
        <v>37</v>
      </c>
      <c r="H111" s="1" t="s">
        <v>51</v>
      </c>
      <c r="I111" s="3">
        <v>1</v>
      </c>
      <c r="J111" s="3">
        <v>20</v>
      </c>
      <c r="K111" s="1" t="s">
        <v>66</v>
      </c>
      <c r="L111" s="1" t="s">
        <v>90</v>
      </c>
      <c r="M111" s="1" t="s">
        <v>94</v>
      </c>
    </row>
    <row r="112" spans="1:13" ht="27.6">
      <c r="A112" s="2">
        <v>45869</v>
      </c>
      <c r="B112" s="13" t="s">
        <v>106</v>
      </c>
      <c r="C112" s="1" t="s">
        <v>93</v>
      </c>
      <c r="D112" s="1" t="s">
        <v>32</v>
      </c>
      <c r="E112" s="1" t="s">
        <v>20</v>
      </c>
      <c r="F112" s="1" t="s">
        <v>57</v>
      </c>
      <c r="G112" s="1" t="s">
        <v>38</v>
      </c>
      <c r="H112" s="1" t="s">
        <v>49</v>
      </c>
      <c r="I112" s="3">
        <v>16</v>
      </c>
      <c r="J112" s="3">
        <v>20</v>
      </c>
      <c r="K112" s="1" t="s">
        <v>66</v>
      </c>
      <c r="L112" s="1" t="s">
        <v>86</v>
      </c>
      <c r="M112" s="1" t="s">
        <v>94</v>
      </c>
    </row>
    <row r="113" spans="1:13" ht="27.6">
      <c r="A113" s="2">
        <v>45846</v>
      </c>
      <c r="B113" s="13" t="s">
        <v>106</v>
      </c>
      <c r="C113" s="1" t="s">
        <v>93</v>
      </c>
      <c r="D113" s="1" t="s">
        <v>32</v>
      </c>
      <c r="E113" s="1" t="s">
        <v>17</v>
      </c>
      <c r="F113" s="1" t="s">
        <v>55</v>
      </c>
      <c r="G113" s="1" t="s">
        <v>41</v>
      </c>
      <c r="H113" s="1" t="s">
        <v>51</v>
      </c>
      <c r="I113" s="3">
        <v>8</v>
      </c>
      <c r="J113" s="3">
        <v>20</v>
      </c>
      <c r="K113" s="1" t="s">
        <v>66</v>
      </c>
      <c r="L113" s="1" t="s">
        <v>83</v>
      </c>
      <c r="M113" s="1" t="s">
        <v>97</v>
      </c>
    </row>
    <row r="114" spans="1:13" ht="27.6">
      <c r="A114" s="2">
        <v>45861</v>
      </c>
      <c r="B114" s="13" t="s">
        <v>106</v>
      </c>
      <c r="C114" s="1" t="s">
        <v>85</v>
      </c>
      <c r="D114" s="1" t="s">
        <v>30</v>
      </c>
      <c r="E114" s="1" t="s">
        <v>15</v>
      </c>
      <c r="F114" s="1" t="s">
        <v>62</v>
      </c>
      <c r="G114" s="1" t="s">
        <v>37</v>
      </c>
      <c r="H114" s="1" t="s">
        <v>53</v>
      </c>
      <c r="I114" s="3">
        <v>14</v>
      </c>
      <c r="J114" s="3">
        <v>20</v>
      </c>
      <c r="K114" s="1" t="s">
        <v>66</v>
      </c>
      <c r="L114" s="1" t="s">
        <v>83</v>
      </c>
      <c r="M114" s="1" t="s">
        <v>84</v>
      </c>
    </row>
    <row r="115" spans="1:13" ht="27.6">
      <c r="A115" s="2">
        <v>45839</v>
      </c>
      <c r="B115" s="13" t="s">
        <v>106</v>
      </c>
      <c r="C115" s="1" t="s">
        <v>92</v>
      </c>
      <c r="D115" s="1" t="s">
        <v>33</v>
      </c>
      <c r="E115" s="1" t="s">
        <v>24</v>
      </c>
      <c r="F115" s="1" t="s">
        <v>60</v>
      </c>
      <c r="G115" s="1" t="s">
        <v>44</v>
      </c>
      <c r="H115" s="1" t="s">
        <v>51</v>
      </c>
      <c r="I115" s="3">
        <v>12</v>
      </c>
      <c r="J115" s="3">
        <v>20</v>
      </c>
      <c r="K115" s="1" t="s">
        <v>66</v>
      </c>
      <c r="L115" s="1" t="s">
        <v>90</v>
      </c>
      <c r="M115" s="1" t="s">
        <v>91</v>
      </c>
    </row>
    <row r="116" spans="1:13">
      <c r="A116" s="2">
        <v>45846</v>
      </c>
      <c r="B116" s="13" t="s">
        <v>106</v>
      </c>
      <c r="C116" s="1" t="s">
        <v>82</v>
      </c>
      <c r="D116" s="1" t="s">
        <v>31</v>
      </c>
      <c r="E116" s="1" t="s">
        <v>25</v>
      </c>
      <c r="F116" s="1" t="s">
        <v>61</v>
      </c>
      <c r="G116" s="1" t="s">
        <v>36</v>
      </c>
      <c r="H116" s="1" t="s">
        <v>51</v>
      </c>
      <c r="I116" s="3">
        <v>9</v>
      </c>
      <c r="J116" s="3">
        <v>20</v>
      </c>
      <c r="K116" s="1" t="s">
        <v>66</v>
      </c>
      <c r="L116" s="1" t="s">
        <v>86</v>
      </c>
      <c r="M116" s="1" t="s">
        <v>89</v>
      </c>
    </row>
    <row r="117" spans="1:13">
      <c r="A117" s="2">
        <v>45852</v>
      </c>
      <c r="B117" s="13" t="s">
        <v>106</v>
      </c>
      <c r="C117" s="1" t="s">
        <v>92</v>
      </c>
      <c r="D117" s="1" t="s">
        <v>31</v>
      </c>
      <c r="E117" s="1" t="s">
        <v>21</v>
      </c>
      <c r="F117" s="1" t="s">
        <v>57</v>
      </c>
      <c r="G117" s="1" t="s">
        <v>36</v>
      </c>
      <c r="H117" s="1" t="s">
        <v>52</v>
      </c>
      <c r="I117" s="3">
        <v>1</v>
      </c>
      <c r="J117" s="3">
        <v>20</v>
      </c>
      <c r="K117" s="1" t="s">
        <v>66</v>
      </c>
      <c r="L117" s="1" t="s">
        <v>83</v>
      </c>
      <c r="M117" s="1" t="s">
        <v>91</v>
      </c>
    </row>
    <row r="118" spans="1:13" ht="27.6">
      <c r="A118" s="2">
        <v>45853</v>
      </c>
      <c r="B118" s="13" t="s">
        <v>106</v>
      </c>
      <c r="C118" s="1" t="s">
        <v>82</v>
      </c>
      <c r="D118" s="1" t="s">
        <v>28</v>
      </c>
      <c r="E118" s="1" t="s">
        <v>19</v>
      </c>
      <c r="F118" s="1" t="s">
        <v>60</v>
      </c>
      <c r="G118" s="1" t="s">
        <v>37</v>
      </c>
      <c r="H118" s="1" t="s">
        <v>49</v>
      </c>
      <c r="I118" s="3">
        <v>48</v>
      </c>
      <c r="J118" s="3">
        <v>30</v>
      </c>
      <c r="K118" s="1" t="s">
        <v>65</v>
      </c>
      <c r="L118" s="1" t="s">
        <v>90</v>
      </c>
      <c r="M118" s="1" t="s">
        <v>100</v>
      </c>
    </row>
    <row r="119" spans="1:13">
      <c r="A119" s="2">
        <v>45847</v>
      </c>
      <c r="B119" s="13" t="s">
        <v>106</v>
      </c>
      <c r="C119" s="1" t="s">
        <v>93</v>
      </c>
      <c r="D119" s="1" t="s">
        <v>29</v>
      </c>
      <c r="E119" s="1" t="s">
        <v>16</v>
      </c>
      <c r="F119" s="1" t="s">
        <v>57</v>
      </c>
      <c r="G119" s="1" t="s">
        <v>44</v>
      </c>
      <c r="H119" s="1" t="s">
        <v>53</v>
      </c>
      <c r="I119" s="3">
        <v>13</v>
      </c>
      <c r="J119" s="3">
        <v>30</v>
      </c>
      <c r="K119" s="1" t="s">
        <v>66</v>
      </c>
      <c r="L119" s="1" t="s">
        <v>86</v>
      </c>
      <c r="M119" s="1" t="s">
        <v>84</v>
      </c>
    </row>
    <row r="120" spans="1:13" ht="27.6">
      <c r="A120" s="2">
        <v>45866</v>
      </c>
      <c r="B120" s="13" t="s">
        <v>106</v>
      </c>
      <c r="C120" s="1" t="s">
        <v>85</v>
      </c>
      <c r="D120" s="1" t="s">
        <v>30</v>
      </c>
      <c r="E120" s="1" t="s">
        <v>26</v>
      </c>
      <c r="F120" s="1" t="s">
        <v>62</v>
      </c>
      <c r="G120" s="1" t="s">
        <v>42</v>
      </c>
      <c r="H120" s="1" t="s">
        <v>50</v>
      </c>
      <c r="I120" s="3">
        <v>5</v>
      </c>
      <c r="J120" s="3">
        <v>20</v>
      </c>
      <c r="K120" s="1" t="s">
        <v>66</v>
      </c>
      <c r="L120" s="1" t="s">
        <v>83</v>
      </c>
      <c r="M120" s="1" t="s">
        <v>98</v>
      </c>
    </row>
    <row r="121" spans="1:13" ht="27.6">
      <c r="A121" s="2">
        <v>45862</v>
      </c>
      <c r="B121" s="13" t="s">
        <v>106</v>
      </c>
      <c r="C121" s="1" t="s">
        <v>85</v>
      </c>
      <c r="D121" s="1" t="s">
        <v>31</v>
      </c>
      <c r="E121" s="1" t="s">
        <v>25</v>
      </c>
      <c r="F121" s="1" t="s">
        <v>60</v>
      </c>
      <c r="G121" s="1" t="s">
        <v>36</v>
      </c>
      <c r="H121" s="1" t="s">
        <v>51</v>
      </c>
      <c r="I121" s="3">
        <v>12</v>
      </c>
      <c r="J121" s="3">
        <v>20</v>
      </c>
      <c r="K121" s="1" t="s">
        <v>66</v>
      </c>
      <c r="L121" s="1" t="s">
        <v>86</v>
      </c>
      <c r="M121" s="1" t="s">
        <v>97</v>
      </c>
    </row>
    <row r="122" spans="1:13">
      <c r="A122" s="2">
        <v>45868</v>
      </c>
      <c r="B122" s="13" t="s">
        <v>106</v>
      </c>
      <c r="C122" s="1" t="s">
        <v>93</v>
      </c>
      <c r="D122" s="1" t="s">
        <v>31</v>
      </c>
      <c r="E122" s="1" t="s">
        <v>17</v>
      </c>
      <c r="F122" s="1" t="s">
        <v>58</v>
      </c>
      <c r="G122" s="1" t="s">
        <v>40</v>
      </c>
      <c r="H122" s="1" t="s">
        <v>52</v>
      </c>
      <c r="I122" s="3">
        <v>4</v>
      </c>
      <c r="J122" s="3">
        <v>20</v>
      </c>
      <c r="K122" s="1" t="s">
        <v>66</v>
      </c>
      <c r="L122" s="1" t="s">
        <v>90</v>
      </c>
      <c r="M122" s="1" t="s">
        <v>96</v>
      </c>
    </row>
    <row r="123" spans="1:13" ht="27.6">
      <c r="A123" s="2">
        <v>45861</v>
      </c>
      <c r="B123" s="13" t="s">
        <v>106</v>
      </c>
      <c r="C123" s="1" t="s">
        <v>85</v>
      </c>
      <c r="D123" s="1" t="s">
        <v>30</v>
      </c>
      <c r="E123" s="1" t="s">
        <v>23</v>
      </c>
      <c r="F123" s="1" t="s">
        <v>55</v>
      </c>
      <c r="G123" s="1" t="s">
        <v>46</v>
      </c>
      <c r="H123" s="1" t="s">
        <v>52</v>
      </c>
      <c r="I123" s="3">
        <v>1</v>
      </c>
      <c r="J123" s="3">
        <v>20</v>
      </c>
      <c r="K123" s="1" t="s">
        <v>66</v>
      </c>
      <c r="L123" s="1" t="s">
        <v>90</v>
      </c>
      <c r="M123" s="1" t="s">
        <v>89</v>
      </c>
    </row>
    <row r="124" spans="1:13" ht="27.6">
      <c r="A124" s="2">
        <v>45865</v>
      </c>
      <c r="B124" s="13" t="s">
        <v>106</v>
      </c>
      <c r="C124" s="1" t="s">
        <v>92</v>
      </c>
      <c r="D124" s="1" t="s">
        <v>32</v>
      </c>
      <c r="E124" s="1" t="s">
        <v>17</v>
      </c>
      <c r="F124" s="1" t="s">
        <v>56</v>
      </c>
      <c r="G124" s="1" t="s">
        <v>38</v>
      </c>
      <c r="H124" s="1" t="s">
        <v>49</v>
      </c>
      <c r="I124" s="3">
        <v>13</v>
      </c>
      <c r="J124" s="3">
        <v>20</v>
      </c>
      <c r="K124" s="1" t="s">
        <v>66</v>
      </c>
      <c r="L124" s="1" t="s">
        <v>90</v>
      </c>
      <c r="M124" s="1" t="s">
        <v>89</v>
      </c>
    </row>
    <row r="125" spans="1:13">
      <c r="A125" s="2">
        <v>45849</v>
      </c>
      <c r="B125" s="13" t="s">
        <v>106</v>
      </c>
      <c r="C125" s="1" t="s">
        <v>88</v>
      </c>
      <c r="D125" s="1" t="s">
        <v>32</v>
      </c>
      <c r="E125" s="1" t="s">
        <v>20</v>
      </c>
      <c r="F125" s="1" t="s">
        <v>58</v>
      </c>
      <c r="G125" s="1" t="s">
        <v>36</v>
      </c>
      <c r="H125" s="1" t="s">
        <v>51</v>
      </c>
      <c r="I125" s="3">
        <v>9</v>
      </c>
      <c r="J125" s="3">
        <v>20</v>
      </c>
      <c r="K125" s="1" t="s">
        <v>66</v>
      </c>
      <c r="L125" s="1" t="s">
        <v>90</v>
      </c>
      <c r="M125" s="1" t="s">
        <v>94</v>
      </c>
    </row>
    <row r="126" spans="1:13" ht="27.6">
      <c r="A126" s="2">
        <v>45846</v>
      </c>
      <c r="B126" s="13" t="s">
        <v>106</v>
      </c>
      <c r="C126" s="1" t="s">
        <v>82</v>
      </c>
      <c r="D126" s="1" t="s">
        <v>30</v>
      </c>
      <c r="E126" s="1" t="s">
        <v>17</v>
      </c>
      <c r="F126" s="1" t="s">
        <v>57</v>
      </c>
      <c r="G126" s="1" t="s">
        <v>37</v>
      </c>
      <c r="H126" s="1" t="s">
        <v>52</v>
      </c>
      <c r="I126" s="3">
        <v>10</v>
      </c>
      <c r="J126" s="3">
        <v>20</v>
      </c>
      <c r="K126" s="1" t="s">
        <v>66</v>
      </c>
      <c r="L126" s="1" t="s">
        <v>90</v>
      </c>
      <c r="M126" s="1" t="s">
        <v>89</v>
      </c>
    </row>
    <row r="127" spans="1:13">
      <c r="A127" s="2">
        <v>45843</v>
      </c>
      <c r="B127" s="13" t="s">
        <v>106</v>
      </c>
      <c r="C127" s="1" t="s">
        <v>85</v>
      </c>
      <c r="D127" s="1" t="s">
        <v>28</v>
      </c>
      <c r="E127" s="1" t="s">
        <v>22</v>
      </c>
      <c r="F127" s="1" t="s">
        <v>59</v>
      </c>
      <c r="G127" s="1" t="s">
        <v>35</v>
      </c>
      <c r="H127" s="1" t="s">
        <v>51</v>
      </c>
      <c r="I127" s="3">
        <v>5</v>
      </c>
      <c r="J127" s="3">
        <v>30</v>
      </c>
      <c r="K127" s="1" t="s">
        <v>66</v>
      </c>
      <c r="L127" s="1" t="s">
        <v>86</v>
      </c>
      <c r="M127" s="1" t="s">
        <v>102</v>
      </c>
    </row>
    <row r="128" spans="1:13">
      <c r="A128" s="2">
        <v>45845</v>
      </c>
      <c r="B128" s="13" t="s">
        <v>106</v>
      </c>
      <c r="C128" s="1" t="s">
        <v>92</v>
      </c>
      <c r="D128" s="1" t="s">
        <v>29</v>
      </c>
      <c r="E128" s="1" t="s">
        <v>25</v>
      </c>
      <c r="F128" s="1" t="s">
        <v>62</v>
      </c>
      <c r="G128" s="1" t="s">
        <v>36</v>
      </c>
      <c r="H128" s="1" t="s">
        <v>51</v>
      </c>
      <c r="I128" s="3">
        <v>6</v>
      </c>
      <c r="J128" s="3">
        <v>30</v>
      </c>
      <c r="K128" s="1" t="s">
        <v>66</v>
      </c>
      <c r="L128" s="1" t="s">
        <v>86</v>
      </c>
      <c r="M128" s="1" t="s">
        <v>84</v>
      </c>
    </row>
    <row r="129" spans="1:13">
      <c r="A129" s="2">
        <v>45863</v>
      </c>
      <c r="B129" s="13" t="s">
        <v>106</v>
      </c>
      <c r="C129" s="1" t="s">
        <v>85</v>
      </c>
      <c r="D129" s="1" t="s">
        <v>28</v>
      </c>
      <c r="E129" s="1" t="s">
        <v>22</v>
      </c>
      <c r="F129" s="1" t="s">
        <v>61</v>
      </c>
      <c r="G129" s="1" t="s">
        <v>38</v>
      </c>
      <c r="H129" s="1" t="s">
        <v>51</v>
      </c>
      <c r="I129" s="3">
        <v>18</v>
      </c>
      <c r="J129" s="3">
        <v>30</v>
      </c>
      <c r="K129" s="1" t="s">
        <v>66</v>
      </c>
      <c r="L129" s="1" t="s">
        <v>90</v>
      </c>
      <c r="M129" s="1" t="s">
        <v>98</v>
      </c>
    </row>
    <row r="130" spans="1:13">
      <c r="A130" s="2">
        <v>45852</v>
      </c>
      <c r="B130" s="13" t="s">
        <v>106</v>
      </c>
      <c r="C130" s="1" t="s">
        <v>93</v>
      </c>
      <c r="D130" s="1" t="s">
        <v>32</v>
      </c>
      <c r="E130" s="1" t="s">
        <v>23</v>
      </c>
      <c r="F130" s="1" t="s">
        <v>55</v>
      </c>
      <c r="G130" s="1" t="s">
        <v>37</v>
      </c>
      <c r="H130" s="1" t="s">
        <v>51</v>
      </c>
      <c r="I130" s="3">
        <v>5</v>
      </c>
      <c r="J130" s="3">
        <v>20</v>
      </c>
      <c r="K130" s="1" t="s">
        <v>66</v>
      </c>
      <c r="L130" s="1" t="s">
        <v>90</v>
      </c>
      <c r="M130" s="1" t="s">
        <v>84</v>
      </c>
    </row>
    <row r="131" spans="1:13" ht="27.6">
      <c r="A131" s="2">
        <v>45861</v>
      </c>
      <c r="B131" s="13" t="s">
        <v>106</v>
      </c>
      <c r="C131" s="1" t="s">
        <v>85</v>
      </c>
      <c r="D131" s="1" t="s">
        <v>33</v>
      </c>
      <c r="E131" s="1" t="s">
        <v>17</v>
      </c>
      <c r="F131" s="1" t="s">
        <v>60</v>
      </c>
      <c r="G131" s="1" t="s">
        <v>46</v>
      </c>
      <c r="H131" s="1" t="s">
        <v>51</v>
      </c>
      <c r="I131" s="3">
        <v>8</v>
      </c>
      <c r="J131" s="3">
        <v>20</v>
      </c>
      <c r="K131" s="1" t="s">
        <v>66</v>
      </c>
      <c r="L131" s="1" t="s">
        <v>83</v>
      </c>
      <c r="M131" s="1" t="s">
        <v>96</v>
      </c>
    </row>
    <row r="132" spans="1:13">
      <c r="A132" s="2">
        <v>45850</v>
      </c>
      <c r="B132" s="13" t="s">
        <v>106</v>
      </c>
      <c r="C132" s="1" t="s">
        <v>88</v>
      </c>
      <c r="D132" s="1" t="s">
        <v>32</v>
      </c>
      <c r="E132" s="1" t="s">
        <v>24</v>
      </c>
      <c r="F132" s="1" t="s">
        <v>59</v>
      </c>
      <c r="G132" s="1" t="s">
        <v>47</v>
      </c>
      <c r="H132" s="1" t="s">
        <v>51</v>
      </c>
      <c r="I132" s="3">
        <v>14</v>
      </c>
      <c r="J132" s="3">
        <v>20</v>
      </c>
      <c r="K132" s="1" t="s">
        <v>66</v>
      </c>
      <c r="L132" s="1" t="s">
        <v>86</v>
      </c>
      <c r="M132" s="1" t="s">
        <v>100</v>
      </c>
    </row>
    <row r="133" spans="1:13" ht="27.6">
      <c r="A133" s="2">
        <v>45847</v>
      </c>
      <c r="B133" s="13" t="s">
        <v>106</v>
      </c>
      <c r="C133" s="1" t="s">
        <v>93</v>
      </c>
      <c r="D133" s="1" t="s">
        <v>32</v>
      </c>
      <c r="E133" s="1" t="s">
        <v>22</v>
      </c>
      <c r="F133" s="1" t="s">
        <v>60</v>
      </c>
      <c r="G133" s="1" t="s">
        <v>36</v>
      </c>
      <c r="H133" s="1" t="s">
        <v>52</v>
      </c>
      <c r="I133" s="3">
        <v>9</v>
      </c>
      <c r="J133" s="3">
        <v>20</v>
      </c>
      <c r="K133" s="1" t="s">
        <v>66</v>
      </c>
      <c r="L133" s="1" t="s">
        <v>86</v>
      </c>
      <c r="M133" s="1" t="s">
        <v>84</v>
      </c>
    </row>
    <row r="134" spans="1:13" ht="27.6">
      <c r="A134" s="2">
        <v>45852</v>
      </c>
      <c r="B134" s="13" t="s">
        <v>106</v>
      </c>
      <c r="C134" s="1" t="s">
        <v>85</v>
      </c>
      <c r="D134" s="1" t="s">
        <v>28</v>
      </c>
      <c r="E134" s="1" t="s">
        <v>18</v>
      </c>
      <c r="F134" s="1" t="s">
        <v>61</v>
      </c>
      <c r="G134" s="1" t="s">
        <v>36</v>
      </c>
      <c r="H134" s="1" t="s">
        <v>49</v>
      </c>
      <c r="I134" s="3">
        <v>12</v>
      </c>
      <c r="J134" s="3">
        <v>30</v>
      </c>
      <c r="K134" s="1" t="s">
        <v>66</v>
      </c>
      <c r="L134" s="1" t="s">
        <v>83</v>
      </c>
      <c r="M134" s="1" t="s">
        <v>96</v>
      </c>
    </row>
    <row r="135" spans="1:13">
      <c r="A135" s="2">
        <v>45866</v>
      </c>
      <c r="B135" s="13" t="s">
        <v>106</v>
      </c>
      <c r="C135" s="1" t="s">
        <v>85</v>
      </c>
      <c r="D135" s="1" t="s">
        <v>32</v>
      </c>
      <c r="E135" s="1" t="s">
        <v>18</v>
      </c>
      <c r="F135" s="1" t="s">
        <v>61</v>
      </c>
      <c r="G135" s="1" t="s">
        <v>46</v>
      </c>
      <c r="H135" s="1" t="s">
        <v>51</v>
      </c>
      <c r="I135" s="3">
        <v>13</v>
      </c>
      <c r="J135" s="3">
        <v>20</v>
      </c>
      <c r="K135" s="1" t="s">
        <v>66</v>
      </c>
      <c r="L135" s="1" t="s">
        <v>90</v>
      </c>
      <c r="M135" s="1" t="s">
        <v>87</v>
      </c>
    </row>
    <row r="136" spans="1:13">
      <c r="A136" s="2">
        <v>45860</v>
      </c>
      <c r="B136" s="13" t="s">
        <v>106</v>
      </c>
      <c r="C136" s="1" t="s">
        <v>93</v>
      </c>
      <c r="D136" s="1" t="s">
        <v>31</v>
      </c>
      <c r="E136" s="1" t="s">
        <v>17</v>
      </c>
      <c r="F136" s="1" t="s">
        <v>61</v>
      </c>
      <c r="G136" s="1" t="s">
        <v>42</v>
      </c>
      <c r="H136" s="1" t="s">
        <v>51</v>
      </c>
      <c r="I136" s="3">
        <v>14</v>
      </c>
      <c r="J136" s="3">
        <v>20</v>
      </c>
      <c r="K136" s="1" t="s">
        <v>66</v>
      </c>
      <c r="L136" s="1" t="s">
        <v>86</v>
      </c>
      <c r="M136" s="1" t="s">
        <v>98</v>
      </c>
    </row>
    <row r="137" spans="1:13">
      <c r="A137" s="2">
        <v>45889</v>
      </c>
      <c r="B137" s="13" t="s">
        <v>107</v>
      </c>
      <c r="C137" s="1" t="s">
        <v>85</v>
      </c>
      <c r="D137" s="1" t="s">
        <v>32</v>
      </c>
      <c r="E137" s="1" t="s">
        <v>20</v>
      </c>
      <c r="F137" s="1" t="s">
        <v>62</v>
      </c>
      <c r="G137" s="1" t="s">
        <v>44</v>
      </c>
      <c r="H137" s="1" t="s">
        <v>51</v>
      </c>
      <c r="I137" s="3">
        <v>10</v>
      </c>
      <c r="J137" s="3">
        <v>20</v>
      </c>
      <c r="K137" s="1" t="s">
        <v>66</v>
      </c>
      <c r="L137" s="1" t="s">
        <v>90</v>
      </c>
      <c r="M137" s="1" t="s">
        <v>98</v>
      </c>
    </row>
    <row r="138" spans="1:13">
      <c r="A138" s="2">
        <v>45900</v>
      </c>
      <c r="B138" s="13" t="s">
        <v>107</v>
      </c>
      <c r="C138" s="1" t="s">
        <v>85</v>
      </c>
      <c r="D138" s="1" t="s">
        <v>33</v>
      </c>
      <c r="E138" s="1" t="s">
        <v>23</v>
      </c>
      <c r="F138" s="1" t="s">
        <v>57</v>
      </c>
      <c r="G138" s="1" t="s">
        <v>36</v>
      </c>
      <c r="H138" s="1" t="s">
        <v>51</v>
      </c>
      <c r="I138" s="3">
        <v>12</v>
      </c>
      <c r="J138" s="3">
        <v>20</v>
      </c>
      <c r="K138" s="1" t="s">
        <v>66</v>
      </c>
      <c r="L138" s="1" t="s">
        <v>86</v>
      </c>
      <c r="M138" s="1" t="s">
        <v>100</v>
      </c>
    </row>
    <row r="139" spans="1:13">
      <c r="A139" s="2">
        <v>45874</v>
      </c>
      <c r="B139" s="13" t="s">
        <v>107</v>
      </c>
      <c r="C139" s="1" t="s">
        <v>93</v>
      </c>
      <c r="D139" s="1" t="s">
        <v>29</v>
      </c>
      <c r="E139" s="1" t="s">
        <v>17</v>
      </c>
      <c r="F139" s="1" t="s">
        <v>56</v>
      </c>
      <c r="G139" s="1" t="s">
        <v>37</v>
      </c>
      <c r="H139" s="1" t="s">
        <v>51</v>
      </c>
      <c r="I139" s="3">
        <v>18</v>
      </c>
      <c r="J139" s="3">
        <v>30</v>
      </c>
      <c r="K139" s="1" t="s">
        <v>66</v>
      </c>
      <c r="L139" s="1" t="s">
        <v>86</v>
      </c>
      <c r="M139" s="1" t="s">
        <v>100</v>
      </c>
    </row>
    <row r="140" spans="1:13">
      <c r="A140" s="2">
        <v>45892</v>
      </c>
      <c r="B140" s="13" t="s">
        <v>107</v>
      </c>
      <c r="C140" s="1" t="s">
        <v>82</v>
      </c>
      <c r="D140" s="1" t="s">
        <v>29</v>
      </c>
      <c r="E140" s="1" t="s">
        <v>23</v>
      </c>
      <c r="F140" s="1" t="s">
        <v>62</v>
      </c>
      <c r="G140" s="1" t="s">
        <v>42</v>
      </c>
      <c r="H140" s="1" t="s">
        <v>51</v>
      </c>
      <c r="I140" s="3">
        <v>9</v>
      </c>
      <c r="J140" s="3">
        <v>30</v>
      </c>
      <c r="K140" s="1" t="s">
        <v>66</v>
      </c>
      <c r="L140" s="1" t="s">
        <v>90</v>
      </c>
      <c r="M140" s="1" t="s">
        <v>102</v>
      </c>
    </row>
    <row r="141" spans="1:13">
      <c r="A141" s="2">
        <v>45882</v>
      </c>
      <c r="B141" s="13" t="s">
        <v>107</v>
      </c>
      <c r="C141" s="1" t="s">
        <v>93</v>
      </c>
      <c r="D141" s="1" t="s">
        <v>33</v>
      </c>
      <c r="E141" s="1" t="s">
        <v>15</v>
      </c>
      <c r="F141" s="1" t="s">
        <v>58</v>
      </c>
      <c r="G141" s="1" t="s">
        <v>47</v>
      </c>
      <c r="H141" s="1" t="s">
        <v>52</v>
      </c>
      <c r="I141" s="3">
        <v>9</v>
      </c>
      <c r="J141" s="3">
        <v>20</v>
      </c>
      <c r="K141" s="1" t="s">
        <v>66</v>
      </c>
      <c r="L141" s="1" t="s">
        <v>83</v>
      </c>
      <c r="M141" s="1" t="s">
        <v>89</v>
      </c>
    </row>
    <row r="142" spans="1:13" ht="27.6">
      <c r="A142" s="2">
        <v>45870</v>
      </c>
      <c r="B142" s="13" t="s">
        <v>107</v>
      </c>
      <c r="C142" s="1" t="s">
        <v>82</v>
      </c>
      <c r="D142" s="1" t="s">
        <v>30</v>
      </c>
      <c r="E142" s="1" t="s">
        <v>26</v>
      </c>
      <c r="F142" s="1" t="s">
        <v>57</v>
      </c>
      <c r="G142" s="1" t="s">
        <v>42</v>
      </c>
      <c r="H142" s="1" t="s">
        <v>51</v>
      </c>
      <c r="I142" s="3">
        <v>15</v>
      </c>
      <c r="J142" s="3">
        <v>20</v>
      </c>
      <c r="K142" s="1" t="s">
        <v>66</v>
      </c>
      <c r="L142" s="1" t="s">
        <v>86</v>
      </c>
      <c r="M142" s="1" t="s">
        <v>89</v>
      </c>
    </row>
    <row r="143" spans="1:13">
      <c r="A143" s="2">
        <v>45875</v>
      </c>
      <c r="B143" s="13" t="s">
        <v>107</v>
      </c>
      <c r="C143" s="1" t="s">
        <v>95</v>
      </c>
      <c r="D143" s="1" t="s">
        <v>32</v>
      </c>
      <c r="E143" s="1" t="s">
        <v>26</v>
      </c>
      <c r="F143" s="1" t="s">
        <v>56</v>
      </c>
      <c r="G143" s="1" t="s">
        <v>37</v>
      </c>
      <c r="H143" s="1" t="s">
        <v>51</v>
      </c>
      <c r="I143" s="3">
        <v>14</v>
      </c>
      <c r="J143" s="3">
        <v>20</v>
      </c>
      <c r="K143" s="1" t="s">
        <v>66</v>
      </c>
      <c r="L143" s="1" t="s">
        <v>86</v>
      </c>
      <c r="M143" s="1" t="s">
        <v>87</v>
      </c>
    </row>
    <row r="144" spans="1:13">
      <c r="A144" s="2">
        <v>45872</v>
      </c>
      <c r="B144" s="13" t="s">
        <v>107</v>
      </c>
      <c r="C144" s="1" t="s">
        <v>93</v>
      </c>
      <c r="D144" s="1" t="s">
        <v>28</v>
      </c>
      <c r="E144" s="1" t="s">
        <v>17</v>
      </c>
      <c r="F144" s="1" t="s">
        <v>62</v>
      </c>
      <c r="G144" s="1" t="s">
        <v>42</v>
      </c>
      <c r="H144" s="1" t="s">
        <v>51</v>
      </c>
      <c r="I144" s="3">
        <v>11</v>
      </c>
      <c r="J144" s="3">
        <v>30</v>
      </c>
      <c r="K144" s="1" t="s">
        <v>66</v>
      </c>
      <c r="L144" s="1" t="s">
        <v>86</v>
      </c>
      <c r="M144" s="1" t="s">
        <v>98</v>
      </c>
    </row>
    <row r="145" spans="1:13">
      <c r="A145" s="2">
        <v>45873</v>
      </c>
      <c r="B145" s="13" t="s">
        <v>107</v>
      </c>
      <c r="C145" s="1" t="s">
        <v>85</v>
      </c>
      <c r="D145" s="1" t="s">
        <v>32</v>
      </c>
      <c r="E145" s="1" t="s">
        <v>23</v>
      </c>
      <c r="F145" s="1" t="s">
        <v>58</v>
      </c>
      <c r="G145" s="1" t="s">
        <v>40</v>
      </c>
      <c r="H145" s="1" t="s">
        <v>51</v>
      </c>
      <c r="I145" s="3">
        <v>4</v>
      </c>
      <c r="J145" s="3">
        <v>20</v>
      </c>
      <c r="K145" s="1" t="s">
        <v>66</v>
      </c>
      <c r="L145" s="1" t="s">
        <v>86</v>
      </c>
      <c r="M145" s="1" t="s">
        <v>91</v>
      </c>
    </row>
    <row r="146" spans="1:13" ht="27.6">
      <c r="A146" s="2">
        <v>45879</v>
      </c>
      <c r="B146" s="13" t="s">
        <v>107</v>
      </c>
      <c r="C146" s="1" t="s">
        <v>93</v>
      </c>
      <c r="D146" s="1" t="s">
        <v>30</v>
      </c>
      <c r="E146" s="1" t="s">
        <v>21</v>
      </c>
      <c r="F146" s="1" t="s">
        <v>59</v>
      </c>
      <c r="G146" s="1" t="s">
        <v>42</v>
      </c>
      <c r="H146" s="1" t="s">
        <v>53</v>
      </c>
      <c r="I146" s="3">
        <v>7</v>
      </c>
      <c r="J146" s="3">
        <v>20</v>
      </c>
      <c r="K146" s="1" t="s">
        <v>66</v>
      </c>
      <c r="L146" s="1" t="s">
        <v>83</v>
      </c>
      <c r="M146" s="1" t="s">
        <v>94</v>
      </c>
    </row>
    <row r="147" spans="1:13">
      <c r="A147" s="2">
        <v>45888</v>
      </c>
      <c r="B147" s="13" t="s">
        <v>107</v>
      </c>
      <c r="C147" s="1" t="s">
        <v>92</v>
      </c>
      <c r="D147" s="1" t="s">
        <v>32</v>
      </c>
      <c r="E147" s="1" t="s">
        <v>15</v>
      </c>
      <c r="F147" s="1" t="s">
        <v>57</v>
      </c>
      <c r="G147" s="1" t="s">
        <v>36</v>
      </c>
      <c r="H147" s="1" t="s">
        <v>51</v>
      </c>
      <c r="I147" s="3">
        <v>15</v>
      </c>
      <c r="J147" s="3">
        <v>20</v>
      </c>
      <c r="K147" s="1" t="s">
        <v>66</v>
      </c>
      <c r="L147" s="1" t="s">
        <v>90</v>
      </c>
      <c r="M147" s="1" t="s">
        <v>91</v>
      </c>
    </row>
    <row r="148" spans="1:13" ht="27.6">
      <c r="A148" s="2">
        <v>45882</v>
      </c>
      <c r="B148" s="13" t="s">
        <v>107</v>
      </c>
      <c r="C148" s="1" t="s">
        <v>93</v>
      </c>
      <c r="D148" s="1" t="s">
        <v>32</v>
      </c>
      <c r="E148" s="1" t="s">
        <v>26</v>
      </c>
      <c r="F148" s="1" t="s">
        <v>60</v>
      </c>
      <c r="G148" s="1" t="s">
        <v>42</v>
      </c>
      <c r="H148" s="1" t="s">
        <v>51</v>
      </c>
      <c r="I148" s="3">
        <v>12</v>
      </c>
      <c r="J148" s="3">
        <v>20</v>
      </c>
      <c r="K148" s="1" t="s">
        <v>66</v>
      </c>
      <c r="L148" s="1" t="s">
        <v>90</v>
      </c>
      <c r="M148" s="1" t="s">
        <v>84</v>
      </c>
    </row>
    <row r="149" spans="1:13" ht="27.6">
      <c r="A149" s="2">
        <v>45890</v>
      </c>
      <c r="B149" s="13" t="s">
        <v>107</v>
      </c>
      <c r="C149" s="1" t="s">
        <v>85</v>
      </c>
      <c r="D149" s="1" t="s">
        <v>32</v>
      </c>
      <c r="E149" s="1" t="s">
        <v>23</v>
      </c>
      <c r="F149" s="1" t="s">
        <v>57</v>
      </c>
      <c r="G149" s="1" t="s">
        <v>46</v>
      </c>
      <c r="H149" s="1" t="s">
        <v>49</v>
      </c>
      <c r="I149" s="3">
        <v>35</v>
      </c>
      <c r="J149" s="3">
        <v>20</v>
      </c>
      <c r="K149" s="1" t="s">
        <v>65</v>
      </c>
      <c r="L149" s="1" t="s">
        <v>86</v>
      </c>
      <c r="M149" s="1" t="s">
        <v>100</v>
      </c>
    </row>
    <row r="150" spans="1:13">
      <c r="A150" s="2">
        <v>45891</v>
      </c>
      <c r="B150" s="13" t="s">
        <v>107</v>
      </c>
      <c r="C150" s="1" t="s">
        <v>92</v>
      </c>
      <c r="D150" s="1" t="s">
        <v>28</v>
      </c>
      <c r="E150" s="1" t="s">
        <v>16</v>
      </c>
      <c r="F150" s="1" t="s">
        <v>59</v>
      </c>
      <c r="G150" s="1" t="s">
        <v>46</v>
      </c>
      <c r="H150" s="1" t="s">
        <v>51</v>
      </c>
      <c r="I150" s="3">
        <v>12</v>
      </c>
      <c r="J150" s="3">
        <v>30</v>
      </c>
      <c r="K150" s="1" t="s">
        <v>66</v>
      </c>
      <c r="L150" s="1" t="s">
        <v>83</v>
      </c>
      <c r="M150" s="1" t="s">
        <v>94</v>
      </c>
    </row>
    <row r="151" spans="1:13">
      <c r="A151" s="2">
        <v>45885</v>
      </c>
      <c r="B151" s="13" t="s">
        <v>107</v>
      </c>
      <c r="C151" s="1" t="s">
        <v>85</v>
      </c>
      <c r="D151" s="1" t="s">
        <v>32</v>
      </c>
      <c r="E151" s="1" t="s">
        <v>23</v>
      </c>
      <c r="F151" s="1" t="s">
        <v>61</v>
      </c>
      <c r="G151" s="1" t="s">
        <v>38</v>
      </c>
      <c r="H151" s="1" t="s">
        <v>51</v>
      </c>
      <c r="I151" s="3">
        <v>12</v>
      </c>
      <c r="J151" s="3">
        <v>20</v>
      </c>
      <c r="K151" s="1" t="s">
        <v>66</v>
      </c>
      <c r="L151" s="1" t="s">
        <v>90</v>
      </c>
      <c r="M151" s="1" t="s">
        <v>91</v>
      </c>
    </row>
    <row r="152" spans="1:13" ht="27.6">
      <c r="A152" s="2">
        <v>45883</v>
      </c>
      <c r="B152" s="13" t="s">
        <v>107</v>
      </c>
      <c r="C152" s="1" t="s">
        <v>92</v>
      </c>
      <c r="D152" s="1" t="s">
        <v>32</v>
      </c>
      <c r="E152" s="1" t="s">
        <v>22</v>
      </c>
      <c r="F152" s="1" t="s">
        <v>60</v>
      </c>
      <c r="G152" s="1" t="s">
        <v>36</v>
      </c>
      <c r="H152" s="1" t="s">
        <v>51</v>
      </c>
      <c r="I152" s="3">
        <v>14</v>
      </c>
      <c r="J152" s="3">
        <v>20</v>
      </c>
      <c r="K152" s="1" t="s">
        <v>66</v>
      </c>
      <c r="L152" s="1" t="s">
        <v>83</v>
      </c>
      <c r="M152" s="1" t="s">
        <v>87</v>
      </c>
    </row>
    <row r="153" spans="1:13">
      <c r="A153" s="2">
        <v>45892</v>
      </c>
      <c r="B153" s="13" t="s">
        <v>107</v>
      </c>
      <c r="C153" s="1" t="s">
        <v>85</v>
      </c>
      <c r="D153" s="1" t="s">
        <v>29</v>
      </c>
      <c r="E153" s="1" t="s">
        <v>19</v>
      </c>
      <c r="F153" s="1" t="s">
        <v>57</v>
      </c>
      <c r="G153" s="1" t="s">
        <v>42</v>
      </c>
      <c r="H153" s="1" t="s">
        <v>51</v>
      </c>
      <c r="I153" s="3">
        <v>4</v>
      </c>
      <c r="J153" s="3">
        <v>30</v>
      </c>
      <c r="K153" s="1" t="s">
        <v>66</v>
      </c>
      <c r="L153" s="1" t="s">
        <v>86</v>
      </c>
      <c r="M153" s="1" t="s">
        <v>89</v>
      </c>
    </row>
    <row r="154" spans="1:13" ht="27.6">
      <c r="A154" s="2">
        <v>45883</v>
      </c>
      <c r="B154" s="13" t="s">
        <v>107</v>
      </c>
      <c r="C154" s="1" t="s">
        <v>85</v>
      </c>
      <c r="D154" s="1" t="s">
        <v>31</v>
      </c>
      <c r="E154" s="1" t="s">
        <v>20</v>
      </c>
      <c r="F154" s="1" t="s">
        <v>57</v>
      </c>
      <c r="G154" s="1" t="s">
        <v>40</v>
      </c>
      <c r="H154" s="1" t="s">
        <v>49</v>
      </c>
      <c r="I154" s="3">
        <v>21</v>
      </c>
      <c r="J154" s="3">
        <v>20</v>
      </c>
      <c r="K154" s="1" t="s">
        <v>65</v>
      </c>
      <c r="L154" s="1" t="s">
        <v>86</v>
      </c>
      <c r="M154" s="1" t="s">
        <v>102</v>
      </c>
    </row>
    <row r="155" spans="1:13" ht="27.6">
      <c r="A155" s="2">
        <v>45899</v>
      </c>
      <c r="B155" s="13" t="s">
        <v>107</v>
      </c>
      <c r="C155" s="1" t="s">
        <v>85</v>
      </c>
      <c r="D155" s="1" t="s">
        <v>29</v>
      </c>
      <c r="E155" s="1" t="s">
        <v>26</v>
      </c>
      <c r="F155" s="1" t="s">
        <v>56</v>
      </c>
      <c r="G155" s="1" t="s">
        <v>45</v>
      </c>
      <c r="H155" s="1" t="s">
        <v>49</v>
      </c>
      <c r="I155" s="3">
        <v>11</v>
      </c>
      <c r="J155" s="3">
        <v>30</v>
      </c>
      <c r="K155" s="1" t="s">
        <v>66</v>
      </c>
      <c r="L155" s="1" t="s">
        <v>90</v>
      </c>
      <c r="M155" s="1" t="s">
        <v>91</v>
      </c>
    </row>
    <row r="156" spans="1:13">
      <c r="A156" s="2">
        <v>45877</v>
      </c>
      <c r="B156" s="13" t="s">
        <v>107</v>
      </c>
      <c r="C156" s="1" t="s">
        <v>92</v>
      </c>
      <c r="D156" s="1" t="s">
        <v>32</v>
      </c>
      <c r="E156" s="1" t="s">
        <v>18</v>
      </c>
      <c r="F156" s="1" t="s">
        <v>59</v>
      </c>
      <c r="G156" s="1" t="s">
        <v>47</v>
      </c>
      <c r="H156" s="1" t="s">
        <v>51</v>
      </c>
      <c r="I156" s="3">
        <v>13</v>
      </c>
      <c r="J156" s="3">
        <v>20</v>
      </c>
      <c r="K156" s="1" t="s">
        <v>66</v>
      </c>
      <c r="L156" s="1" t="s">
        <v>86</v>
      </c>
      <c r="M156" s="1" t="s">
        <v>87</v>
      </c>
    </row>
    <row r="157" spans="1:13">
      <c r="A157" s="2">
        <v>45880</v>
      </c>
      <c r="B157" s="13" t="s">
        <v>107</v>
      </c>
      <c r="C157" s="1" t="s">
        <v>88</v>
      </c>
      <c r="D157" s="1" t="s">
        <v>32</v>
      </c>
      <c r="E157" s="1" t="s">
        <v>16</v>
      </c>
      <c r="F157" s="1" t="s">
        <v>55</v>
      </c>
      <c r="G157" s="1" t="s">
        <v>47</v>
      </c>
      <c r="H157" s="1" t="s">
        <v>51</v>
      </c>
      <c r="I157" s="3">
        <v>1</v>
      </c>
      <c r="J157" s="3">
        <v>20</v>
      </c>
      <c r="K157" s="1" t="s">
        <v>66</v>
      </c>
      <c r="L157" s="1" t="s">
        <v>90</v>
      </c>
      <c r="M157" s="1" t="s">
        <v>102</v>
      </c>
    </row>
    <row r="158" spans="1:13">
      <c r="A158" s="2">
        <v>45879</v>
      </c>
      <c r="B158" s="13" t="s">
        <v>107</v>
      </c>
      <c r="C158" s="1" t="s">
        <v>95</v>
      </c>
      <c r="D158" s="1" t="s">
        <v>28</v>
      </c>
      <c r="E158" s="1" t="s">
        <v>21</v>
      </c>
      <c r="F158" s="1" t="s">
        <v>59</v>
      </c>
      <c r="G158" s="1" t="s">
        <v>36</v>
      </c>
      <c r="H158" s="1" t="s">
        <v>51</v>
      </c>
      <c r="I158" s="3">
        <v>8</v>
      </c>
      <c r="J158" s="3">
        <v>30</v>
      </c>
      <c r="K158" s="1" t="s">
        <v>66</v>
      </c>
      <c r="L158" s="1" t="s">
        <v>83</v>
      </c>
      <c r="M158" s="1" t="s">
        <v>98</v>
      </c>
    </row>
    <row r="159" spans="1:13" ht="27.6">
      <c r="A159" s="2">
        <v>45899</v>
      </c>
      <c r="B159" s="13" t="s">
        <v>107</v>
      </c>
      <c r="C159" s="1" t="s">
        <v>93</v>
      </c>
      <c r="D159" s="1" t="s">
        <v>30</v>
      </c>
      <c r="E159" s="1" t="s">
        <v>23</v>
      </c>
      <c r="F159" s="1" t="s">
        <v>59</v>
      </c>
      <c r="G159" s="1" t="s">
        <v>42</v>
      </c>
      <c r="H159" s="1" t="s">
        <v>52</v>
      </c>
      <c r="I159" s="3">
        <v>10</v>
      </c>
      <c r="J159" s="3">
        <v>20</v>
      </c>
      <c r="K159" s="1" t="s">
        <v>66</v>
      </c>
      <c r="L159" s="1" t="s">
        <v>83</v>
      </c>
      <c r="M159" s="1" t="s">
        <v>96</v>
      </c>
    </row>
    <row r="160" spans="1:13" ht="27.6">
      <c r="A160" s="2">
        <v>45886</v>
      </c>
      <c r="B160" s="13" t="s">
        <v>107</v>
      </c>
      <c r="C160" s="1" t="s">
        <v>88</v>
      </c>
      <c r="D160" s="1" t="s">
        <v>29</v>
      </c>
      <c r="E160" s="1" t="s">
        <v>20</v>
      </c>
      <c r="F160" s="1" t="s">
        <v>58</v>
      </c>
      <c r="G160" s="1" t="s">
        <v>36</v>
      </c>
      <c r="H160" s="1" t="s">
        <v>51</v>
      </c>
      <c r="I160" s="3">
        <v>11</v>
      </c>
      <c r="J160" s="3">
        <v>30</v>
      </c>
      <c r="K160" s="1" t="s">
        <v>66</v>
      </c>
      <c r="L160" s="1" t="s">
        <v>86</v>
      </c>
      <c r="M160" s="1" t="s">
        <v>97</v>
      </c>
    </row>
    <row r="161" spans="1:13" ht="27.6">
      <c r="A161" s="2">
        <v>45893</v>
      </c>
      <c r="B161" s="13" t="s">
        <v>107</v>
      </c>
      <c r="C161" s="1" t="s">
        <v>95</v>
      </c>
      <c r="D161" s="1" t="s">
        <v>32</v>
      </c>
      <c r="E161" s="1" t="s">
        <v>22</v>
      </c>
      <c r="F161" s="1" t="s">
        <v>56</v>
      </c>
      <c r="G161" s="1" t="s">
        <v>37</v>
      </c>
      <c r="H161" s="1" t="s">
        <v>49</v>
      </c>
      <c r="I161" s="3">
        <v>39</v>
      </c>
      <c r="J161" s="3">
        <v>20</v>
      </c>
      <c r="K161" s="1" t="s">
        <v>65</v>
      </c>
      <c r="L161" s="1" t="s">
        <v>86</v>
      </c>
      <c r="M161" s="1" t="s">
        <v>89</v>
      </c>
    </row>
    <row r="162" spans="1:13">
      <c r="A162" s="2">
        <v>45878</v>
      </c>
      <c r="B162" s="13" t="s">
        <v>107</v>
      </c>
      <c r="C162" s="1" t="s">
        <v>85</v>
      </c>
      <c r="D162" s="1" t="s">
        <v>32</v>
      </c>
      <c r="E162" s="1" t="s">
        <v>22</v>
      </c>
      <c r="F162" s="1" t="s">
        <v>62</v>
      </c>
      <c r="G162" s="1" t="s">
        <v>42</v>
      </c>
      <c r="H162" s="1" t="s">
        <v>51</v>
      </c>
      <c r="I162" s="3">
        <v>7</v>
      </c>
      <c r="J162" s="3">
        <v>20</v>
      </c>
      <c r="K162" s="1" t="s">
        <v>66</v>
      </c>
      <c r="L162" s="1" t="s">
        <v>86</v>
      </c>
      <c r="M162" s="1" t="s">
        <v>87</v>
      </c>
    </row>
    <row r="163" spans="1:13">
      <c r="A163" s="2">
        <v>45906</v>
      </c>
      <c r="B163" s="13" t="s">
        <v>108</v>
      </c>
      <c r="C163" s="1" t="s">
        <v>88</v>
      </c>
      <c r="D163" s="1" t="s">
        <v>33</v>
      </c>
      <c r="E163" s="1" t="s">
        <v>18</v>
      </c>
      <c r="F163" s="1" t="s">
        <v>59</v>
      </c>
      <c r="G163" s="1" t="s">
        <v>37</v>
      </c>
      <c r="H163" s="1" t="s">
        <v>51</v>
      </c>
      <c r="I163" s="3">
        <v>6</v>
      </c>
      <c r="J163" s="3">
        <v>20</v>
      </c>
      <c r="K163" s="1" t="s">
        <v>66</v>
      </c>
      <c r="L163" s="1" t="s">
        <v>83</v>
      </c>
      <c r="M163" s="1" t="s">
        <v>91</v>
      </c>
    </row>
    <row r="164" spans="1:13" ht="27.6">
      <c r="A164" s="2">
        <v>45916</v>
      </c>
      <c r="B164" s="13" t="s">
        <v>108</v>
      </c>
      <c r="C164" s="1" t="s">
        <v>88</v>
      </c>
      <c r="D164" s="1" t="s">
        <v>31</v>
      </c>
      <c r="E164" s="1" t="s">
        <v>21</v>
      </c>
      <c r="F164" s="1" t="s">
        <v>55</v>
      </c>
      <c r="G164" s="1" t="s">
        <v>45</v>
      </c>
      <c r="H164" s="1" t="s">
        <v>49</v>
      </c>
      <c r="I164" s="3">
        <v>13</v>
      </c>
      <c r="J164" s="3">
        <v>20</v>
      </c>
      <c r="K164" s="1" t="s">
        <v>66</v>
      </c>
      <c r="L164" s="1" t="s">
        <v>90</v>
      </c>
      <c r="M164" s="1" t="s">
        <v>98</v>
      </c>
    </row>
    <row r="165" spans="1:13" ht="27.6">
      <c r="A165" s="2">
        <v>45917</v>
      </c>
      <c r="B165" s="13" t="s">
        <v>108</v>
      </c>
      <c r="C165" s="1" t="s">
        <v>92</v>
      </c>
      <c r="D165" s="1" t="s">
        <v>31</v>
      </c>
      <c r="E165" s="1" t="s">
        <v>25</v>
      </c>
      <c r="F165" s="1" t="s">
        <v>60</v>
      </c>
      <c r="G165" s="1" t="s">
        <v>44</v>
      </c>
      <c r="H165" s="1" t="s">
        <v>51</v>
      </c>
      <c r="I165" s="3">
        <v>6</v>
      </c>
      <c r="J165" s="3">
        <v>20</v>
      </c>
      <c r="K165" s="1" t="s">
        <v>66</v>
      </c>
      <c r="L165" s="1" t="s">
        <v>86</v>
      </c>
      <c r="M165" s="1" t="s">
        <v>102</v>
      </c>
    </row>
    <row r="166" spans="1:13">
      <c r="A166" s="2">
        <v>45919</v>
      </c>
      <c r="B166" s="13" t="s">
        <v>108</v>
      </c>
      <c r="C166" s="1" t="s">
        <v>88</v>
      </c>
      <c r="D166" s="1" t="s">
        <v>31</v>
      </c>
      <c r="E166" s="1" t="s">
        <v>17</v>
      </c>
      <c r="F166" s="1" t="s">
        <v>59</v>
      </c>
      <c r="G166" s="1" t="s">
        <v>47</v>
      </c>
      <c r="H166" s="1" t="s">
        <v>51</v>
      </c>
      <c r="I166" s="3">
        <v>6</v>
      </c>
      <c r="J166" s="3">
        <v>20</v>
      </c>
      <c r="K166" s="1" t="s">
        <v>66</v>
      </c>
      <c r="L166" s="1" t="s">
        <v>86</v>
      </c>
      <c r="M166" s="1" t="s">
        <v>98</v>
      </c>
    </row>
    <row r="167" spans="1:13" ht="27.6">
      <c r="A167" s="2">
        <v>45929</v>
      </c>
      <c r="B167" s="13" t="s">
        <v>108</v>
      </c>
      <c r="C167" s="1" t="s">
        <v>93</v>
      </c>
      <c r="D167" s="1" t="s">
        <v>31</v>
      </c>
      <c r="E167" s="1" t="s">
        <v>22</v>
      </c>
      <c r="F167" s="1" t="s">
        <v>59</v>
      </c>
      <c r="G167" s="1" t="s">
        <v>37</v>
      </c>
      <c r="H167" s="1" t="s">
        <v>49</v>
      </c>
      <c r="I167" s="3">
        <v>14</v>
      </c>
      <c r="J167" s="3">
        <v>20</v>
      </c>
      <c r="K167" s="1" t="s">
        <v>66</v>
      </c>
      <c r="L167" s="1" t="s">
        <v>83</v>
      </c>
      <c r="M167" s="1" t="s">
        <v>102</v>
      </c>
    </row>
    <row r="168" spans="1:13" ht="27.6">
      <c r="A168" s="2">
        <v>45914</v>
      </c>
      <c r="B168" s="13" t="s">
        <v>108</v>
      </c>
      <c r="C168" s="1" t="s">
        <v>95</v>
      </c>
      <c r="D168" s="1" t="s">
        <v>30</v>
      </c>
      <c r="E168" s="1" t="s">
        <v>20</v>
      </c>
      <c r="F168" s="1" t="s">
        <v>56</v>
      </c>
      <c r="G168" s="1" t="s">
        <v>40</v>
      </c>
      <c r="H168" s="1" t="s">
        <v>51</v>
      </c>
      <c r="I168" s="3">
        <v>21</v>
      </c>
      <c r="J168" s="3">
        <v>20</v>
      </c>
      <c r="K168" s="1" t="s">
        <v>65</v>
      </c>
      <c r="L168" s="1" t="s">
        <v>83</v>
      </c>
      <c r="M168" s="1" t="s">
        <v>96</v>
      </c>
    </row>
    <row r="169" spans="1:13">
      <c r="A169" s="2">
        <v>45906</v>
      </c>
      <c r="B169" s="13" t="s">
        <v>108</v>
      </c>
      <c r="C169" s="1" t="s">
        <v>92</v>
      </c>
      <c r="D169" s="1" t="s">
        <v>28</v>
      </c>
      <c r="E169" s="1" t="s">
        <v>22</v>
      </c>
      <c r="F169" s="1" t="s">
        <v>55</v>
      </c>
      <c r="G169" s="1" t="s">
        <v>36</v>
      </c>
      <c r="H169" s="1" t="s">
        <v>51</v>
      </c>
      <c r="I169" s="3">
        <v>9</v>
      </c>
      <c r="J169" s="3">
        <v>30</v>
      </c>
      <c r="K169" s="1" t="s">
        <v>66</v>
      </c>
      <c r="L169" s="1" t="s">
        <v>86</v>
      </c>
      <c r="M169" s="1" t="s">
        <v>96</v>
      </c>
    </row>
    <row r="170" spans="1:13">
      <c r="A170" s="2">
        <v>45927</v>
      </c>
      <c r="B170" s="13" t="s">
        <v>108</v>
      </c>
      <c r="C170" s="1" t="s">
        <v>85</v>
      </c>
      <c r="D170" s="1" t="s">
        <v>29</v>
      </c>
      <c r="E170" s="1" t="s">
        <v>25</v>
      </c>
      <c r="F170" s="1" t="s">
        <v>58</v>
      </c>
      <c r="G170" s="1" t="s">
        <v>37</v>
      </c>
      <c r="H170" s="1" t="s">
        <v>51</v>
      </c>
      <c r="I170" s="3">
        <v>11</v>
      </c>
      <c r="J170" s="3">
        <v>30</v>
      </c>
      <c r="K170" s="1" t="s">
        <v>66</v>
      </c>
      <c r="L170" s="1" t="s">
        <v>90</v>
      </c>
      <c r="M170" s="1" t="s">
        <v>89</v>
      </c>
    </row>
    <row r="171" spans="1:13" ht="27.6">
      <c r="A171" s="2">
        <v>45923</v>
      </c>
      <c r="B171" s="13" t="s">
        <v>108</v>
      </c>
      <c r="C171" s="1" t="s">
        <v>95</v>
      </c>
      <c r="D171" s="1" t="s">
        <v>30</v>
      </c>
      <c r="E171" s="1" t="s">
        <v>20</v>
      </c>
      <c r="F171" s="1" t="s">
        <v>60</v>
      </c>
      <c r="G171" s="1" t="s">
        <v>37</v>
      </c>
      <c r="H171" s="1" t="s">
        <v>51</v>
      </c>
      <c r="I171" s="3">
        <v>4</v>
      </c>
      <c r="J171" s="3">
        <v>20</v>
      </c>
      <c r="K171" s="1" t="s">
        <v>66</v>
      </c>
      <c r="L171" s="1" t="s">
        <v>90</v>
      </c>
      <c r="M171" s="1" t="s">
        <v>102</v>
      </c>
    </row>
    <row r="172" spans="1:13" ht="27.6">
      <c r="A172" s="2">
        <v>45913</v>
      </c>
      <c r="B172" s="13" t="s">
        <v>108</v>
      </c>
      <c r="C172" s="1" t="s">
        <v>92</v>
      </c>
      <c r="D172" s="1" t="s">
        <v>30</v>
      </c>
      <c r="E172" s="1" t="s">
        <v>24</v>
      </c>
      <c r="F172" s="1" t="s">
        <v>56</v>
      </c>
      <c r="G172" s="1" t="s">
        <v>37</v>
      </c>
      <c r="H172" s="1" t="s">
        <v>50</v>
      </c>
      <c r="I172" s="3">
        <v>1</v>
      </c>
      <c r="J172" s="3">
        <v>20</v>
      </c>
      <c r="K172" s="1" t="s">
        <v>66</v>
      </c>
      <c r="L172" s="1" t="s">
        <v>90</v>
      </c>
      <c r="M172" s="1" t="s">
        <v>100</v>
      </c>
    </row>
    <row r="173" spans="1:13">
      <c r="A173" s="2">
        <v>45901</v>
      </c>
      <c r="B173" s="13" t="s">
        <v>108</v>
      </c>
      <c r="C173" s="1" t="s">
        <v>92</v>
      </c>
      <c r="D173" s="1" t="s">
        <v>33</v>
      </c>
      <c r="E173" s="1" t="s">
        <v>26</v>
      </c>
      <c r="F173" s="1" t="s">
        <v>57</v>
      </c>
      <c r="G173" s="1" t="s">
        <v>44</v>
      </c>
      <c r="H173" s="1" t="s">
        <v>53</v>
      </c>
      <c r="I173" s="3">
        <v>6</v>
      </c>
      <c r="J173" s="3">
        <v>20</v>
      </c>
      <c r="K173" s="1" t="s">
        <v>66</v>
      </c>
      <c r="L173" s="1" t="s">
        <v>90</v>
      </c>
      <c r="M173" s="1" t="s">
        <v>96</v>
      </c>
    </row>
    <row r="174" spans="1:13">
      <c r="A174" s="2">
        <v>45927</v>
      </c>
      <c r="B174" s="13" t="s">
        <v>108</v>
      </c>
      <c r="C174" s="1" t="s">
        <v>88</v>
      </c>
      <c r="D174" s="1" t="s">
        <v>31</v>
      </c>
      <c r="E174" s="1" t="s">
        <v>25</v>
      </c>
      <c r="F174" s="1" t="s">
        <v>61</v>
      </c>
      <c r="G174" s="1" t="s">
        <v>44</v>
      </c>
      <c r="H174" s="1" t="s">
        <v>52</v>
      </c>
      <c r="I174" s="3">
        <v>13</v>
      </c>
      <c r="J174" s="3">
        <v>20</v>
      </c>
      <c r="K174" s="1" t="s">
        <v>66</v>
      </c>
      <c r="L174" s="1" t="s">
        <v>86</v>
      </c>
      <c r="M174" s="1" t="s">
        <v>94</v>
      </c>
    </row>
    <row r="175" spans="1:13">
      <c r="A175" s="2">
        <v>45921</v>
      </c>
      <c r="B175" s="13" t="s">
        <v>108</v>
      </c>
      <c r="C175" s="1" t="s">
        <v>92</v>
      </c>
      <c r="D175" s="1" t="s">
        <v>31</v>
      </c>
      <c r="E175" s="1" t="s">
        <v>23</v>
      </c>
      <c r="F175" s="1" t="s">
        <v>59</v>
      </c>
      <c r="G175" s="1" t="s">
        <v>42</v>
      </c>
      <c r="H175" s="1" t="s">
        <v>50</v>
      </c>
      <c r="I175" s="3">
        <v>21</v>
      </c>
      <c r="J175" s="3">
        <v>20</v>
      </c>
      <c r="K175" s="1" t="s">
        <v>65</v>
      </c>
      <c r="L175" s="1" t="s">
        <v>90</v>
      </c>
      <c r="M175" s="1" t="s">
        <v>91</v>
      </c>
    </row>
    <row r="176" spans="1:13">
      <c r="A176" s="2">
        <v>45926</v>
      </c>
      <c r="B176" s="13" t="s">
        <v>108</v>
      </c>
      <c r="C176" s="1" t="s">
        <v>92</v>
      </c>
      <c r="D176" s="1" t="s">
        <v>31</v>
      </c>
      <c r="E176" s="1" t="s">
        <v>22</v>
      </c>
      <c r="F176" s="1" t="s">
        <v>57</v>
      </c>
      <c r="G176" s="1" t="s">
        <v>37</v>
      </c>
      <c r="H176" s="1" t="s">
        <v>51</v>
      </c>
      <c r="I176" s="3">
        <v>11</v>
      </c>
      <c r="J176" s="3">
        <v>20</v>
      </c>
      <c r="K176" s="1" t="s">
        <v>66</v>
      </c>
      <c r="L176" s="1" t="s">
        <v>83</v>
      </c>
      <c r="M176" s="1" t="s">
        <v>96</v>
      </c>
    </row>
    <row r="177" spans="1:13">
      <c r="A177" s="2">
        <v>45927</v>
      </c>
      <c r="B177" s="13" t="s">
        <v>108</v>
      </c>
      <c r="C177" s="1" t="s">
        <v>92</v>
      </c>
      <c r="D177" s="1" t="s">
        <v>32</v>
      </c>
      <c r="E177" s="1" t="s">
        <v>17</v>
      </c>
      <c r="F177" s="1" t="s">
        <v>55</v>
      </c>
      <c r="G177" s="1" t="s">
        <v>36</v>
      </c>
      <c r="H177" s="1" t="s">
        <v>51</v>
      </c>
      <c r="I177" s="3">
        <v>1</v>
      </c>
      <c r="J177" s="3">
        <v>20</v>
      </c>
      <c r="K177" s="1" t="s">
        <v>66</v>
      </c>
      <c r="L177" s="1" t="s">
        <v>90</v>
      </c>
      <c r="M177" s="1" t="s">
        <v>100</v>
      </c>
    </row>
    <row r="178" spans="1:13" ht="27.6">
      <c r="A178" s="2">
        <v>45959</v>
      </c>
      <c r="B178" s="13" t="s">
        <v>109</v>
      </c>
      <c r="C178" s="1" t="s">
        <v>95</v>
      </c>
      <c r="D178" s="1" t="s">
        <v>32</v>
      </c>
      <c r="E178" s="1" t="s">
        <v>17</v>
      </c>
      <c r="F178" s="1" t="s">
        <v>59</v>
      </c>
      <c r="G178" s="1" t="s">
        <v>39</v>
      </c>
      <c r="H178" s="1" t="s">
        <v>51</v>
      </c>
      <c r="I178" s="3">
        <v>19</v>
      </c>
      <c r="J178" s="3">
        <v>20</v>
      </c>
      <c r="K178" s="1" t="s">
        <v>66</v>
      </c>
      <c r="L178" s="1" t="s">
        <v>90</v>
      </c>
      <c r="M178" s="1" t="s">
        <v>97</v>
      </c>
    </row>
    <row r="179" spans="1:13">
      <c r="A179" s="2">
        <v>45940</v>
      </c>
      <c r="B179" s="13" t="s">
        <v>109</v>
      </c>
      <c r="C179" s="1" t="s">
        <v>93</v>
      </c>
      <c r="D179" s="1" t="s">
        <v>32</v>
      </c>
      <c r="E179" s="1" t="s">
        <v>24</v>
      </c>
      <c r="F179" s="1" t="s">
        <v>61</v>
      </c>
      <c r="G179" s="1" t="s">
        <v>44</v>
      </c>
      <c r="H179" s="1" t="s">
        <v>53</v>
      </c>
      <c r="I179" s="3">
        <v>11</v>
      </c>
      <c r="J179" s="3">
        <v>20</v>
      </c>
      <c r="K179" s="1" t="s">
        <v>66</v>
      </c>
      <c r="L179" s="1" t="s">
        <v>90</v>
      </c>
      <c r="M179" s="1" t="s">
        <v>89</v>
      </c>
    </row>
    <row r="180" spans="1:13">
      <c r="A180" s="2">
        <v>45934</v>
      </c>
      <c r="B180" s="13" t="s">
        <v>109</v>
      </c>
      <c r="C180" s="1" t="s">
        <v>93</v>
      </c>
      <c r="D180" s="1" t="s">
        <v>29</v>
      </c>
      <c r="E180" s="1" t="s">
        <v>26</v>
      </c>
      <c r="F180" s="1" t="s">
        <v>57</v>
      </c>
      <c r="G180" s="1" t="s">
        <v>40</v>
      </c>
      <c r="H180" s="1" t="s">
        <v>52</v>
      </c>
      <c r="I180" s="3">
        <v>6</v>
      </c>
      <c r="J180" s="3">
        <v>30</v>
      </c>
      <c r="K180" s="1" t="s">
        <v>66</v>
      </c>
      <c r="L180" s="1" t="s">
        <v>90</v>
      </c>
      <c r="M180" s="1" t="s">
        <v>87</v>
      </c>
    </row>
    <row r="181" spans="1:13">
      <c r="A181" s="2">
        <v>45956</v>
      </c>
      <c r="B181" s="13" t="s">
        <v>109</v>
      </c>
      <c r="C181" s="1" t="s">
        <v>92</v>
      </c>
      <c r="D181" s="1" t="s">
        <v>28</v>
      </c>
      <c r="E181" s="1" t="s">
        <v>23</v>
      </c>
      <c r="F181" s="1" t="s">
        <v>61</v>
      </c>
      <c r="G181" s="1" t="s">
        <v>43</v>
      </c>
      <c r="H181" s="1" t="s">
        <v>53</v>
      </c>
      <c r="I181" s="3">
        <v>5</v>
      </c>
      <c r="J181" s="3">
        <v>30</v>
      </c>
      <c r="K181" s="1" t="s">
        <v>66</v>
      </c>
      <c r="L181" s="1" t="s">
        <v>83</v>
      </c>
      <c r="M181" s="1" t="s">
        <v>98</v>
      </c>
    </row>
    <row r="182" spans="1:13" ht="27.6">
      <c r="A182" s="2">
        <v>45932</v>
      </c>
      <c r="B182" s="13" t="s">
        <v>109</v>
      </c>
      <c r="C182" s="1" t="s">
        <v>93</v>
      </c>
      <c r="D182" s="1" t="s">
        <v>30</v>
      </c>
      <c r="E182" s="1" t="s">
        <v>22</v>
      </c>
      <c r="F182" s="1" t="s">
        <v>56</v>
      </c>
      <c r="G182" s="1" t="s">
        <v>36</v>
      </c>
      <c r="H182" s="1" t="s">
        <v>52</v>
      </c>
      <c r="I182" s="3">
        <v>11</v>
      </c>
      <c r="J182" s="3">
        <v>20</v>
      </c>
      <c r="K182" s="1" t="s">
        <v>66</v>
      </c>
      <c r="L182" s="1" t="s">
        <v>86</v>
      </c>
      <c r="M182" s="1" t="s">
        <v>84</v>
      </c>
    </row>
    <row r="183" spans="1:13" ht="27.6">
      <c r="A183" s="2">
        <v>45946</v>
      </c>
      <c r="B183" s="13" t="s">
        <v>109</v>
      </c>
      <c r="C183" s="1" t="s">
        <v>85</v>
      </c>
      <c r="D183" s="1" t="s">
        <v>30</v>
      </c>
      <c r="E183" s="1" t="s">
        <v>22</v>
      </c>
      <c r="F183" s="1" t="s">
        <v>57</v>
      </c>
      <c r="G183" s="1" t="s">
        <v>45</v>
      </c>
      <c r="H183" s="1" t="s">
        <v>53</v>
      </c>
      <c r="I183" s="3">
        <v>8</v>
      </c>
      <c r="J183" s="3">
        <v>20</v>
      </c>
      <c r="K183" s="1" t="s">
        <v>66</v>
      </c>
      <c r="L183" s="1" t="s">
        <v>90</v>
      </c>
      <c r="M183" s="1" t="s">
        <v>87</v>
      </c>
    </row>
    <row r="184" spans="1:13" ht="27.6">
      <c r="A184" s="2">
        <v>45936</v>
      </c>
      <c r="B184" s="13" t="s">
        <v>109</v>
      </c>
      <c r="C184" s="1" t="s">
        <v>88</v>
      </c>
      <c r="D184" s="1" t="s">
        <v>31</v>
      </c>
      <c r="E184" s="1" t="s">
        <v>21</v>
      </c>
      <c r="F184" s="1" t="s">
        <v>62</v>
      </c>
      <c r="G184" s="1" t="s">
        <v>44</v>
      </c>
      <c r="H184" s="1" t="s">
        <v>51</v>
      </c>
      <c r="I184" s="3">
        <v>11</v>
      </c>
      <c r="J184" s="3">
        <v>20</v>
      </c>
      <c r="K184" s="1" t="s">
        <v>66</v>
      </c>
      <c r="L184" s="1" t="s">
        <v>86</v>
      </c>
      <c r="M184" s="1" t="s">
        <v>97</v>
      </c>
    </row>
    <row r="185" spans="1:13" ht="27.6">
      <c r="A185" s="2">
        <v>45935</v>
      </c>
      <c r="B185" s="13" t="s">
        <v>109</v>
      </c>
      <c r="C185" s="1" t="s">
        <v>85</v>
      </c>
      <c r="D185" s="1" t="s">
        <v>32</v>
      </c>
      <c r="E185" s="1" t="s">
        <v>15</v>
      </c>
      <c r="F185" s="1" t="s">
        <v>60</v>
      </c>
      <c r="G185" s="1" t="s">
        <v>40</v>
      </c>
      <c r="H185" s="1" t="s">
        <v>53</v>
      </c>
      <c r="I185" s="3">
        <v>5</v>
      </c>
      <c r="J185" s="3">
        <v>20</v>
      </c>
      <c r="K185" s="1" t="s">
        <v>66</v>
      </c>
      <c r="L185" s="1" t="s">
        <v>86</v>
      </c>
      <c r="M185" s="1" t="s">
        <v>89</v>
      </c>
    </row>
    <row r="186" spans="1:13" ht="27.6">
      <c r="A186" s="2">
        <v>45947</v>
      </c>
      <c r="B186" s="13" t="s">
        <v>109</v>
      </c>
      <c r="C186" s="1" t="s">
        <v>93</v>
      </c>
      <c r="D186" s="1" t="s">
        <v>30</v>
      </c>
      <c r="E186" s="1" t="s">
        <v>19</v>
      </c>
      <c r="F186" s="1" t="s">
        <v>56</v>
      </c>
      <c r="G186" s="1" t="s">
        <v>38</v>
      </c>
      <c r="H186" s="1" t="s">
        <v>49</v>
      </c>
      <c r="I186" s="3">
        <v>19</v>
      </c>
      <c r="J186" s="3">
        <v>20</v>
      </c>
      <c r="K186" s="1" t="s">
        <v>66</v>
      </c>
      <c r="L186" s="1" t="s">
        <v>86</v>
      </c>
      <c r="M186" s="1" t="s">
        <v>91</v>
      </c>
    </row>
    <row r="187" spans="1:13" ht="27.6">
      <c r="A187" s="2">
        <v>45936</v>
      </c>
      <c r="B187" s="13" t="s">
        <v>109</v>
      </c>
      <c r="C187" s="1" t="s">
        <v>93</v>
      </c>
      <c r="D187" s="1" t="s">
        <v>30</v>
      </c>
      <c r="E187" s="1" t="s">
        <v>23</v>
      </c>
      <c r="F187" s="1" t="s">
        <v>60</v>
      </c>
      <c r="G187" s="1" t="s">
        <v>37</v>
      </c>
      <c r="H187" s="1" t="s">
        <v>51</v>
      </c>
      <c r="I187" s="3">
        <v>14</v>
      </c>
      <c r="J187" s="3">
        <v>20</v>
      </c>
      <c r="K187" s="1" t="s">
        <v>66</v>
      </c>
      <c r="L187" s="1" t="s">
        <v>86</v>
      </c>
      <c r="M187" s="1" t="s">
        <v>100</v>
      </c>
    </row>
    <row r="188" spans="1:13">
      <c r="A188" s="2">
        <v>45947</v>
      </c>
      <c r="B188" s="13" t="s">
        <v>109</v>
      </c>
      <c r="C188" s="1" t="s">
        <v>85</v>
      </c>
      <c r="D188" s="1" t="s">
        <v>29</v>
      </c>
      <c r="E188" s="1" t="s">
        <v>17</v>
      </c>
      <c r="F188" s="1" t="s">
        <v>58</v>
      </c>
      <c r="G188" s="1" t="s">
        <v>37</v>
      </c>
      <c r="H188" s="1" t="s">
        <v>51</v>
      </c>
      <c r="I188" s="3">
        <v>1</v>
      </c>
      <c r="J188" s="3">
        <v>30</v>
      </c>
      <c r="K188" s="1" t="s">
        <v>66</v>
      </c>
      <c r="L188" s="1" t="s">
        <v>90</v>
      </c>
      <c r="M188" s="1" t="s">
        <v>98</v>
      </c>
    </row>
    <row r="189" spans="1:13">
      <c r="A189" s="2">
        <v>45941</v>
      </c>
      <c r="B189" s="13" t="s">
        <v>109</v>
      </c>
      <c r="C189" s="1" t="s">
        <v>95</v>
      </c>
      <c r="D189" s="1" t="s">
        <v>32</v>
      </c>
      <c r="E189" s="1" t="s">
        <v>23</v>
      </c>
      <c r="F189" s="1" t="s">
        <v>57</v>
      </c>
      <c r="G189" s="1" t="s">
        <v>40</v>
      </c>
      <c r="H189" s="1" t="s">
        <v>51</v>
      </c>
      <c r="I189" s="3">
        <v>10</v>
      </c>
      <c r="J189" s="3">
        <v>20</v>
      </c>
      <c r="K189" s="1" t="s">
        <v>66</v>
      </c>
      <c r="L189" s="1" t="s">
        <v>90</v>
      </c>
      <c r="M189" s="1" t="s">
        <v>98</v>
      </c>
    </row>
    <row r="190" spans="1:13">
      <c r="A190" s="2">
        <v>45931</v>
      </c>
      <c r="B190" s="13" t="s">
        <v>109</v>
      </c>
      <c r="C190" s="1" t="s">
        <v>88</v>
      </c>
      <c r="D190" s="1" t="s">
        <v>28</v>
      </c>
      <c r="E190" s="1" t="s">
        <v>26</v>
      </c>
      <c r="F190" s="1" t="s">
        <v>58</v>
      </c>
      <c r="G190" s="1" t="s">
        <v>38</v>
      </c>
      <c r="H190" s="1" t="s">
        <v>51</v>
      </c>
      <c r="I190" s="3">
        <v>19</v>
      </c>
      <c r="J190" s="3">
        <v>30</v>
      </c>
      <c r="K190" s="1" t="s">
        <v>66</v>
      </c>
      <c r="L190" s="1" t="s">
        <v>83</v>
      </c>
      <c r="M190" s="1" t="s">
        <v>84</v>
      </c>
    </row>
    <row r="191" spans="1:13">
      <c r="A191" s="2">
        <v>45985</v>
      </c>
      <c r="B191" s="13" t="s">
        <v>110</v>
      </c>
      <c r="C191" s="1" t="s">
        <v>93</v>
      </c>
      <c r="D191" s="1" t="s">
        <v>32</v>
      </c>
      <c r="E191" s="1" t="s">
        <v>22</v>
      </c>
      <c r="F191" s="1" t="s">
        <v>59</v>
      </c>
      <c r="G191" s="1" t="s">
        <v>41</v>
      </c>
      <c r="H191" s="1" t="s">
        <v>52</v>
      </c>
      <c r="I191" s="3">
        <v>9</v>
      </c>
      <c r="J191" s="3">
        <v>20</v>
      </c>
      <c r="K191" s="1" t="s">
        <v>66</v>
      </c>
      <c r="L191" s="1" t="s">
        <v>90</v>
      </c>
      <c r="M191" s="1" t="s">
        <v>100</v>
      </c>
    </row>
    <row r="192" spans="1:13" ht="27.6">
      <c r="A192" s="2">
        <v>45983</v>
      </c>
      <c r="B192" s="13" t="s">
        <v>110</v>
      </c>
      <c r="C192" s="1" t="s">
        <v>93</v>
      </c>
      <c r="D192" s="1" t="s">
        <v>32</v>
      </c>
      <c r="E192" s="1" t="s">
        <v>22</v>
      </c>
      <c r="F192" s="1" t="s">
        <v>57</v>
      </c>
      <c r="G192" s="1" t="s">
        <v>36</v>
      </c>
      <c r="H192" s="1" t="s">
        <v>49</v>
      </c>
      <c r="I192" s="3">
        <v>16</v>
      </c>
      <c r="J192" s="3">
        <v>20</v>
      </c>
      <c r="K192" s="1" t="s">
        <v>66</v>
      </c>
      <c r="L192" s="1" t="s">
        <v>90</v>
      </c>
      <c r="M192" s="1" t="s">
        <v>100</v>
      </c>
    </row>
    <row r="193" spans="1:13" ht="27.6">
      <c r="A193" s="2">
        <v>45986</v>
      </c>
      <c r="B193" s="13" t="s">
        <v>110</v>
      </c>
      <c r="C193" s="1" t="s">
        <v>85</v>
      </c>
      <c r="D193" s="1" t="s">
        <v>31</v>
      </c>
      <c r="E193" s="1" t="s">
        <v>22</v>
      </c>
      <c r="F193" s="1" t="s">
        <v>58</v>
      </c>
      <c r="G193" s="1" t="s">
        <v>40</v>
      </c>
      <c r="H193" s="1" t="s">
        <v>49</v>
      </c>
      <c r="I193" s="3">
        <v>18</v>
      </c>
      <c r="J193" s="3">
        <v>20</v>
      </c>
      <c r="K193" s="1" t="s">
        <v>66</v>
      </c>
      <c r="L193" s="1" t="s">
        <v>90</v>
      </c>
      <c r="M193" s="1" t="s">
        <v>87</v>
      </c>
    </row>
    <row r="194" spans="1:13" ht="27.6">
      <c r="A194" s="2">
        <v>45964</v>
      </c>
      <c r="B194" s="13" t="s">
        <v>110</v>
      </c>
      <c r="C194" s="1" t="s">
        <v>85</v>
      </c>
      <c r="D194" s="1" t="s">
        <v>31</v>
      </c>
      <c r="E194" s="1" t="s">
        <v>16</v>
      </c>
      <c r="F194" s="1" t="s">
        <v>60</v>
      </c>
      <c r="G194" s="1" t="s">
        <v>35</v>
      </c>
      <c r="H194" s="1" t="s">
        <v>51</v>
      </c>
      <c r="I194" s="3">
        <v>8</v>
      </c>
      <c r="J194" s="3">
        <v>20</v>
      </c>
      <c r="K194" s="1" t="s">
        <v>66</v>
      </c>
      <c r="L194" s="1" t="s">
        <v>86</v>
      </c>
      <c r="M194" s="1" t="s">
        <v>89</v>
      </c>
    </row>
    <row r="195" spans="1:13" ht="27.6">
      <c r="A195" s="2">
        <v>45968</v>
      </c>
      <c r="B195" s="13" t="s">
        <v>110</v>
      </c>
      <c r="C195" s="1" t="s">
        <v>85</v>
      </c>
      <c r="D195" s="1" t="s">
        <v>30</v>
      </c>
      <c r="E195" s="1" t="s">
        <v>24</v>
      </c>
      <c r="F195" s="1" t="s">
        <v>62</v>
      </c>
      <c r="G195" s="1" t="s">
        <v>36</v>
      </c>
      <c r="H195" s="1" t="s">
        <v>53</v>
      </c>
      <c r="I195" s="3">
        <v>9</v>
      </c>
      <c r="J195" s="3">
        <v>20</v>
      </c>
      <c r="K195" s="1" t="s">
        <v>66</v>
      </c>
      <c r="L195" s="1" t="s">
        <v>90</v>
      </c>
      <c r="M195" s="1" t="s">
        <v>87</v>
      </c>
    </row>
    <row r="196" spans="1:13" ht="27.6">
      <c r="A196" s="2">
        <v>45973</v>
      </c>
      <c r="B196" s="13" t="s">
        <v>110</v>
      </c>
      <c r="C196" s="1" t="s">
        <v>92</v>
      </c>
      <c r="D196" s="1" t="s">
        <v>28</v>
      </c>
      <c r="E196" s="1" t="s">
        <v>21</v>
      </c>
      <c r="F196" s="1" t="s">
        <v>60</v>
      </c>
      <c r="G196" s="1" t="s">
        <v>36</v>
      </c>
      <c r="H196" s="1" t="s">
        <v>51</v>
      </c>
      <c r="I196" s="3">
        <v>3</v>
      </c>
      <c r="J196" s="3">
        <v>30</v>
      </c>
      <c r="K196" s="1" t="s">
        <v>66</v>
      </c>
      <c r="L196" s="1" t="s">
        <v>86</v>
      </c>
      <c r="M196" s="1" t="s">
        <v>91</v>
      </c>
    </row>
    <row r="197" spans="1:13">
      <c r="A197" s="2">
        <v>45962</v>
      </c>
      <c r="B197" s="13" t="s">
        <v>110</v>
      </c>
      <c r="C197" s="1" t="s">
        <v>93</v>
      </c>
      <c r="D197" s="1" t="s">
        <v>31</v>
      </c>
      <c r="E197" s="1" t="s">
        <v>25</v>
      </c>
      <c r="F197" s="1" t="s">
        <v>57</v>
      </c>
      <c r="G197" s="1" t="s">
        <v>38</v>
      </c>
      <c r="H197" s="1" t="s">
        <v>51</v>
      </c>
      <c r="I197" s="3">
        <v>5</v>
      </c>
      <c r="J197" s="3">
        <v>20</v>
      </c>
      <c r="K197" s="1" t="s">
        <v>66</v>
      </c>
      <c r="L197" s="1" t="s">
        <v>83</v>
      </c>
      <c r="M197" s="1" t="s">
        <v>96</v>
      </c>
    </row>
    <row r="198" spans="1:13" ht="27.6">
      <c r="A198" s="2">
        <v>45987</v>
      </c>
      <c r="B198" s="13" t="s">
        <v>110</v>
      </c>
      <c r="C198" s="1" t="s">
        <v>95</v>
      </c>
      <c r="D198" s="1" t="s">
        <v>31</v>
      </c>
      <c r="E198" s="1" t="s">
        <v>22</v>
      </c>
      <c r="F198" s="1" t="s">
        <v>60</v>
      </c>
      <c r="G198" s="1" t="s">
        <v>36</v>
      </c>
      <c r="H198" s="1" t="s">
        <v>51</v>
      </c>
      <c r="I198" s="3">
        <v>8</v>
      </c>
      <c r="J198" s="3">
        <v>20</v>
      </c>
      <c r="K198" s="1" t="s">
        <v>66</v>
      </c>
      <c r="L198" s="1" t="s">
        <v>90</v>
      </c>
      <c r="M198" s="1" t="s">
        <v>94</v>
      </c>
    </row>
    <row r="199" spans="1:13">
      <c r="A199" s="2">
        <v>45973</v>
      </c>
      <c r="B199" s="13" t="s">
        <v>110</v>
      </c>
      <c r="C199" s="1" t="s">
        <v>82</v>
      </c>
      <c r="D199" s="1" t="s">
        <v>33</v>
      </c>
      <c r="E199" s="1" t="s">
        <v>25</v>
      </c>
      <c r="F199" s="1" t="s">
        <v>57</v>
      </c>
      <c r="G199" s="1" t="s">
        <v>38</v>
      </c>
      <c r="H199" s="1" t="s">
        <v>52</v>
      </c>
      <c r="I199" s="3">
        <v>6</v>
      </c>
      <c r="J199" s="3">
        <v>20</v>
      </c>
      <c r="K199" s="1" t="s">
        <v>66</v>
      </c>
      <c r="L199" s="1" t="s">
        <v>83</v>
      </c>
      <c r="M199" s="1" t="s">
        <v>94</v>
      </c>
    </row>
    <row r="200" spans="1:13">
      <c r="A200" s="2">
        <v>45978</v>
      </c>
      <c r="B200" s="13" t="s">
        <v>110</v>
      </c>
      <c r="C200" s="1" t="s">
        <v>93</v>
      </c>
      <c r="D200" s="1" t="s">
        <v>32</v>
      </c>
      <c r="E200" s="1" t="s">
        <v>22</v>
      </c>
      <c r="F200" s="1" t="s">
        <v>59</v>
      </c>
      <c r="G200" s="1" t="s">
        <v>44</v>
      </c>
      <c r="H200" s="1" t="s">
        <v>51</v>
      </c>
      <c r="I200" s="3">
        <v>4</v>
      </c>
      <c r="J200" s="3">
        <v>20</v>
      </c>
      <c r="K200" s="1" t="s">
        <v>66</v>
      </c>
      <c r="L200" s="1" t="s">
        <v>90</v>
      </c>
      <c r="M200" s="1" t="s">
        <v>96</v>
      </c>
    </row>
    <row r="201" spans="1:13">
      <c r="A201" s="2">
        <v>45990</v>
      </c>
      <c r="B201" s="13" t="s">
        <v>110</v>
      </c>
      <c r="C201" s="1" t="s">
        <v>92</v>
      </c>
      <c r="D201" s="1" t="s">
        <v>32</v>
      </c>
      <c r="E201" s="1" t="s">
        <v>26</v>
      </c>
      <c r="F201" s="1" t="s">
        <v>57</v>
      </c>
      <c r="G201" s="1" t="s">
        <v>40</v>
      </c>
      <c r="H201" s="1" t="s">
        <v>52</v>
      </c>
      <c r="I201" s="3">
        <v>11</v>
      </c>
      <c r="J201" s="3">
        <v>20</v>
      </c>
      <c r="K201" s="1" t="s">
        <v>66</v>
      </c>
      <c r="L201" s="1" t="s">
        <v>83</v>
      </c>
      <c r="M201" s="1" t="s">
        <v>96</v>
      </c>
    </row>
    <row r="202" spans="1:13" ht="27.6">
      <c r="A202" s="2">
        <v>45983</v>
      </c>
      <c r="B202" s="13" t="s">
        <v>110</v>
      </c>
      <c r="C202" s="1" t="s">
        <v>85</v>
      </c>
      <c r="D202" s="1" t="s">
        <v>32</v>
      </c>
      <c r="E202" s="1" t="s">
        <v>17</v>
      </c>
      <c r="F202" s="1" t="s">
        <v>59</v>
      </c>
      <c r="G202" s="1" t="s">
        <v>45</v>
      </c>
      <c r="H202" s="1" t="s">
        <v>49</v>
      </c>
      <c r="I202" s="3">
        <v>13</v>
      </c>
      <c r="J202" s="3">
        <v>20</v>
      </c>
      <c r="K202" s="1" t="s">
        <v>66</v>
      </c>
      <c r="L202" s="1" t="s">
        <v>86</v>
      </c>
      <c r="M202" s="1" t="s">
        <v>94</v>
      </c>
    </row>
    <row r="203" spans="1:13" ht="27.6">
      <c r="A203" s="2">
        <v>45976</v>
      </c>
      <c r="B203" s="13" t="s">
        <v>110</v>
      </c>
      <c r="C203" s="1" t="s">
        <v>93</v>
      </c>
      <c r="D203" s="1" t="s">
        <v>28</v>
      </c>
      <c r="E203" s="1" t="s">
        <v>23</v>
      </c>
      <c r="F203" s="1" t="s">
        <v>60</v>
      </c>
      <c r="G203" s="1" t="s">
        <v>37</v>
      </c>
      <c r="H203" s="1" t="s">
        <v>51</v>
      </c>
      <c r="I203" s="3">
        <v>12</v>
      </c>
      <c r="J203" s="3">
        <v>30</v>
      </c>
      <c r="K203" s="1" t="s">
        <v>66</v>
      </c>
      <c r="L203" s="1" t="s">
        <v>90</v>
      </c>
      <c r="M203" s="1" t="s">
        <v>102</v>
      </c>
    </row>
    <row r="204" spans="1:13">
      <c r="A204" s="2">
        <v>45962</v>
      </c>
      <c r="B204" s="13" t="s">
        <v>110</v>
      </c>
      <c r="C204" s="1" t="s">
        <v>92</v>
      </c>
      <c r="D204" s="1" t="s">
        <v>28</v>
      </c>
      <c r="E204" s="1" t="s">
        <v>18</v>
      </c>
      <c r="F204" s="1" t="s">
        <v>58</v>
      </c>
      <c r="G204" s="1" t="s">
        <v>42</v>
      </c>
      <c r="H204" s="1" t="s">
        <v>53</v>
      </c>
      <c r="I204" s="3">
        <v>12</v>
      </c>
      <c r="J204" s="3">
        <v>30</v>
      </c>
      <c r="K204" s="1" t="s">
        <v>66</v>
      </c>
      <c r="L204" s="1" t="s">
        <v>86</v>
      </c>
      <c r="M204" s="1" t="s">
        <v>98</v>
      </c>
    </row>
    <row r="205" spans="1:13" ht="27.6">
      <c r="A205" s="2">
        <v>45967</v>
      </c>
      <c r="B205" s="13" t="s">
        <v>110</v>
      </c>
      <c r="C205" s="1" t="s">
        <v>85</v>
      </c>
      <c r="D205" s="1" t="s">
        <v>31</v>
      </c>
      <c r="E205" s="1" t="s">
        <v>23</v>
      </c>
      <c r="F205" s="1" t="s">
        <v>55</v>
      </c>
      <c r="G205" s="1" t="s">
        <v>38</v>
      </c>
      <c r="H205" s="1" t="s">
        <v>49</v>
      </c>
      <c r="I205" s="3">
        <v>22</v>
      </c>
      <c r="J205" s="3">
        <v>20</v>
      </c>
      <c r="K205" s="1" t="s">
        <v>65</v>
      </c>
      <c r="L205" s="1" t="s">
        <v>86</v>
      </c>
      <c r="M205" s="1" t="s">
        <v>100</v>
      </c>
    </row>
    <row r="206" spans="1:13">
      <c r="A206" s="2">
        <v>45962</v>
      </c>
      <c r="B206" s="13" t="s">
        <v>110</v>
      </c>
      <c r="C206" s="1" t="s">
        <v>85</v>
      </c>
      <c r="D206" s="1" t="s">
        <v>29</v>
      </c>
      <c r="E206" s="1" t="s">
        <v>18</v>
      </c>
      <c r="F206" s="1" t="s">
        <v>61</v>
      </c>
      <c r="G206" s="1" t="s">
        <v>38</v>
      </c>
      <c r="H206" s="1" t="s">
        <v>52</v>
      </c>
      <c r="I206" s="3">
        <v>11</v>
      </c>
      <c r="J206" s="3">
        <v>30</v>
      </c>
      <c r="K206" s="1" t="s">
        <v>66</v>
      </c>
      <c r="L206" s="1" t="s">
        <v>86</v>
      </c>
      <c r="M206" s="1" t="s">
        <v>87</v>
      </c>
    </row>
    <row r="207" spans="1:13">
      <c r="A207" s="2">
        <v>45963</v>
      </c>
      <c r="B207" s="13" t="s">
        <v>110</v>
      </c>
      <c r="C207" s="1" t="s">
        <v>85</v>
      </c>
      <c r="D207" s="1" t="s">
        <v>31</v>
      </c>
      <c r="E207" s="1" t="s">
        <v>21</v>
      </c>
      <c r="F207" s="1" t="s">
        <v>59</v>
      </c>
      <c r="G207" s="1" t="s">
        <v>41</v>
      </c>
      <c r="H207" s="1" t="s">
        <v>51</v>
      </c>
      <c r="I207" s="3">
        <v>3</v>
      </c>
      <c r="J207" s="3">
        <v>20</v>
      </c>
      <c r="K207" s="1" t="s">
        <v>66</v>
      </c>
      <c r="L207" s="1" t="s">
        <v>90</v>
      </c>
      <c r="M207" s="1" t="s">
        <v>96</v>
      </c>
    </row>
    <row r="208" spans="1:13">
      <c r="A208" s="2">
        <v>45970</v>
      </c>
      <c r="B208" s="13" t="s">
        <v>110</v>
      </c>
      <c r="C208" s="1" t="s">
        <v>93</v>
      </c>
      <c r="D208" s="1" t="s">
        <v>32</v>
      </c>
      <c r="E208" s="1" t="s">
        <v>25</v>
      </c>
      <c r="F208" s="1" t="s">
        <v>62</v>
      </c>
      <c r="G208" s="1" t="s">
        <v>36</v>
      </c>
      <c r="H208" s="1" t="s">
        <v>53</v>
      </c>
      <c r="I208" s="3">
        <v>1</v>
      </c>
      <c r="J208" s="3">
        <v>20</v>
      </c>
      <c r="K208" s="1" t="s">
        <v>66</v>
      </c>
      <c r="L208" s="1" t="s">
        <v>90</v>
      </c>
      <c r="M208" s="1" t="s">
        <v>84</v>
      </c>
    </row>
    <row r="209" spans="1:13">
      <c r="A209" s="2">
        <v>45981</v>
      </c>
      <c r="B209" s="13" t="s">
        <v>110</v>
      </c>
      <c r="C209" s="1" t="s">
        <v>85</v>
      </c>
      <c r="D209" s="1" t="s">
        <v>32</v>
      </c>
      <c r="E209" s="1" t="s">
        <v>26</v>
      </c>
      <c r="F209" s="1" t="s">
        <v>56</v>
      </c>
      <c r="G209" s="1" t="s">
        <v>37</v>
      </c>
      <c r="H209" s="1" t="s">
        <v>51</v>
      </c>
      <c r="I209" s="3">
        <v>18</v>
      </c>
      <c r="J209" s="3">
        <v>20</v>
      </c>
      <c r="K209" s="1" t="s">
        <v>66</v>
      </c>
      <c r="L209" s="1" t="s">
        <v>86</v>
      </c>
      <c r="M209" s="1" t="s">
        <v>98</v>
      </c>
    </row>
    <row r="210" spans="1:13">
      <c r="A210" s="2">
        <v>45969</v>
      </c>
      <c r="B210" s="13" t="s">
        <v>110</v>
      </c>
      <c r="C210" s="1" t="s">
        <v>92</v>
      </c>
      <c r="D210" s="1" t="s">
        <v>29</v>
      </c>
      <c r="E210" s="1" t="s">
        <v>23</v>
      </c>
      <c r="F210" s="1" t="s">
        <v>62</v>
      </c>
      <c r="G210" s="1" t="s">
        <v>41</v>
      </c>
      <c r="H210" s="1" t="s">
        <v>51</v>
      </c>
      <c r="I210" s="3">
        <v>10</v>
      </c>
      <c r="J210" s="3">
        <v>30</v>
      </c>
      <c r="K210" s="1" t="s">
        <v>66</v>
      </c>
      <c r="L210" s="1" t="s">
        <v>90</v>
      </c>
      <c r="M210" s="1" t="s">
        <v>100</v>
      </c>
    </row>
    <row r="211" spans="1:13">
      <c r="A211" s="2">
        <v>45967</v>
      </c>
      <c r="B211" s="13" t="s">
        <v>110</v>
      </c>
      <c r="C211" s="1" t="s">
        <v>92</v>
      </c>
      <c r="D211" s="1" t="s">
        <v>32</v>
      </c>
      <c r="E211" s="1" t="s">
        <v>20</v>
      </c>
      <c r="F211" s="1" t="s">
        <v>56</v>
      </c>
      <c r="G211" s="1" t="s">
        <v>41</v>
      </c>
      <c r="H211" s="1" t="s">
        <v>52</v>
      </c>
      <c r="I211" s="3">
        <v>3</v>
      </c>
      <c r="J211" s="3">
        <v>20</v>
      </c>
      <c r="K211" s="1" t="s">
        <v>66</v>
      </c>
      <c r="L211" s="1" t="s">
        <v>86</v>
      </c>
      <c r="M211" s="1" t="s">
        <v>91</v>
      </c>
    </row>
    <row r="212" spans="1:13" ht="27.6">
      <c r="A212" s="2">
        <v>45971</v>
      </c>
      <c r="B212" s="13" t="s">
        <v>110</v>
      </c>
      <c r="C212" s="1" t="s">
        <v>85</v>
      </c>
      <c r="D212" s="1" t="s">
        <v>30</v>
      </c>
      <c r="E212" s="1" t="s">
        <v>25</v>
      </c>
      <c r="F212" s="1" t="s">
        <v>56</v>
      </c>
      <c r="G212" s="1" t="s">
        <v>42</v>
      </c>
      <c r="H212" s="1" t="s">
        <v>53</v>
      </c>
      <c r="I212" s="3">
        <v>12</v>
      </c>
      <c r="J212" s="3">
        <v>20</v>
      </c>
      <c r="K212" s="1" t="s">
        <v>66</v>
      </c>
      <c r="L212" s="1" t="s">
        <v>86</v>
      </c>
      <c r="M212" s="1" t="s">
        <v>89</v>
      </c>
    </row>
    <row r="213" spans="1:13" ht="27.6">
      <c r="A213" s="2">
        <v>45991</v>
      </c>
      <c r="B213" s="13" t="s">
        <v>110</v>
      </c>
      <c r="C213" s="1" t="s">
        <v>82</v>
      </c>
      <c r="D213" s="1" t="s">
        <v>32</v>
      </c>
      <c r="E213" s="1" t="s">
        <v>15</v>
      </c>
      <c r="F213" s="1" t="s">
        <v>58</v>
      </c>
      <c r="G213" s="1" t="s">
        <v>42</v>
      </c>
      <c r="H213" s="1" t="s">
        <v>52</v>
      </c>
      <c r="I213" s="3">
        <v>4</v>
      </c>
      <c r="J213" s="3">
        <v>20</v>
      </c>
      <c r="K213" s="1" t="s">
        <v>66</v>
      </c>
      <c r="L213" s="1" t="s">
        <v>86</v>
      </c>
      <c r="M213" s="1" t="s">
        <v>97</v>
      </c>
    </row>
    <row r="214" spans="1:13">
      <c r="A214" s="2">
        <v>45973</v>
      </c>
      <c r="B214" s="13" t="s">
        <v>110</v>
      </c>
      <c r="C214" s="1" t="s">
        <v>88</v>
      </c>
      <c r="D214" s="1" t="s">
        <v>31</v>
      </c>
      <c r="E214" s="1" t="s">
        <v>24</v>
      </c>
      <c r="F214" s="1" t="s">
        <v>61</v>
      </c>
      <c r="G214" s="1" t="s">
        <v>43</v>
      </c>
      <c r="H214" s="1" t="s">
        <v>53</v>
      </c>
      <c r="I214" s="3">
        <v>11</v>
      </c>
      <c r="J214" s="3">
        <v>20</v>
      </c>
      <c r="K214" s="1" t="s">
        <v>66</v>
      </c>
      <c r="L214" s="1" t="s">
        <v>90</v>
      </c>
      <c r="M214" s="1" t="s">
        <v>102</v>
      </c>
    </row>
    <row r="215" spans="1:13" ht="27.6">
      <c r="A215" s="2">
        <v>45970</v>
      </c>
      <c r="B215" s="13" t="s">
        <v>110</v>
      </c>
      <c r="C215" s="1" t="s">
        <v>88</v>
      </c>
      <c r="D215" s="1" t="s">
        <v>31</v>
      </c>
      <c r="E215" s="1" t="s">
        <v>20</v>
      </c>
      <c r="F215" s="1" t="s">
        <v>60</v>
      </c>
      <c r="G215" s="1" t="s">
        <v>35</v>
      </c>
      <c r="H215" s="1" t="s">
        <v>50</v>
      </c>
      <c r="I215" s="3">
        <v>4</v>
      </c>
      <c r="J215" s="3">
        <v>20</v>
      </c>
      <c r="K215" s="1" t="s">
        <v>66</v>
      </c>
      <c r="L215" s="1" t="s">
        <v>90</v>
      </c>
      <c r="M215" s="1" t="s">
        <v>91</v>
      </c>
    </row>
    <row r="216" spans="1:13">
      <c r="A216" s="2">
        <v>45991</v>
      </c>
      <c r="B216" s="13" t="s">
        <v>110</v>
      </c>
      <c r="C216" s="1" t="s">
        <v>82</v>
      </c>
      <c r="D216" s="1" t="s">
        <v>28</v>
      </c>
      <c r="E216" s="1" t="s">
        <v>26</v>
      </c>
      <c r="F216" s="1" t="s">
        <v>58</v>
      </c>
      <c r="G216" s="1" t="s">
        <v>43</v>
      </c>
      <c r="H216" s="1" t="s">
        <v>51</v>
      </c>
      <c r="I216" s="3">
        <v>15</v>
      </c>
      <c r="J216" s="3">
        <v>30</v>
      </c>
      <c r="K216" s="1" t="s">
        <v>66</v>
      </c>
      <c r="L216" s="1" t="s">
        <v>83</v>
      </c>
      <c r="M216" s="1" t="s">
        <v>100</v>
      </c>
    </row>
    <row r="217" spans="1:13">
      <c r="A217" s="2">
        <v>45986</v>
      </c>
      <c r="B217" s="13" t="s">
        <v>110</v>
      </c>
      <c r="C217" s="1" t="s">
        <v>82</v>
      </c>
      <c r="D217" s="1" t="s">
        <v>28</v>
      </c>
      <c r="E217" s="1" t="s">
        <v>16</v>
      </c>
      <c r="F217" s="1" t="s">
        <v>56</v>
      </c>
      <c r="G217" s="1" t="s">
        <v>36</v>
      </c>
      <c r="H217" s="1" t="s">
        <v>53</v>
      </c>
      <c r="I217" s="3">
        <v>7</v>
      </c>
      <c r="J217" s="3">
        <v>30</v>
      </c>
      <c r="K217" s="1" t="s">
        <v>66</v>
      </c>
      <c r="L217" s="1" t="s">
        <v>90</v>
      </c>
      <c r="M217" s="1" t="s">
        <v>96</v>
      </c>
    </row>
    <row r="218" spans="1:13" ht="27.6">
      <c r="A218" s="2">
        <v>45989</v>
      </c>
      <c r="B218" s="13" t="s">
        <v>110</v>
      </c>
      <c r="C218" s="1" t="s">
        <v>85</v>
      </c>
      <c r="D218" s="1" t="s">
        <v>32</v>
      </c>
      <c r="E218" s="1" t="s">
        <v>26</v>
      </c>
      <c r="F218" s="1" t="s">
        <v>60</v>
      </c>
      <c r="G218" s="1" t="s">
        <v>44</v>
      </c>
      <c r="H218" s="1" t="s">
        <v>53</v>
      </c>
      <c r="I218" s="3">
        <v>12</v>
      </c>
      <c r="J218" s="3">
        <v>20</v>
      </c>
      <c r="K218" s="1" t="s">
        <v>66</v>
      </c>
      <c r="L218" s="1" t="s">
        <v>83</v>
      </c>
      <c r="M218" s="1" t="s">
        <v>97</v>
      </c>
    </row>
    <row r="219" spans="1:13">
      <c r="A219" s="2">
        <v>45972</v>
      </c>
      <c r="B219" s="13" t="s">
        <v>110</v>
      </c>
      <c r="C219" s="1" t="s">
        <v>88</v>
      </c>
      <c r="D219" s="1" t="s">
        <v>32</v>
      </c>
      <c r="E219" s="1" t="s">
        <v>25</v>
      </c>
      <c r="F219" s="1" t="s">
        <v>56</v>
      </c>
      <c r="G219" s="1" t="s">
        <v>41</v>
      </c>
      <c r="H219" s="1" t="s">
        <v>52</v>
      </c>
      <c r="I219" s="3">
        <v>2</v>
      </c>
      <c r="J219" s="3">
        <v>20</v>
      </c>
      <c r="K219" s="1" t="s">
        <v>66</v>
      </c>
      <c r="L219" s="1" t="s">
        <v>86</v>
      </c>
      <c r="M219" s="1" t="s">
        <v>87</v>
      </c>
    </row>
    <row r="220" spans="1:13" ht="27.6">
      <c r="A220" s="2">
        <v>45966</v>
      </c>
      <c r="B220" s="13" t="s">
        <v>110</v>
      </c>
      <c r="C220" s="1" t="s">
        <v>85</v>
      </c>
      <c r="D220" s="1" t="s">
        <v>30</v>
      </c>
      <c r="E220" s="1" t="s">
        <v>20</v>
      </c>
      <c r="F220" s="1" t="s">
        <v>57</v>
      </c>
      <c r="G220" s="1" t="s">
        <v>40</v>
      </c>
      <c r="H220" s="1" t="s">
        <v>51</v>
      </c>
      <c r="I220" s="3">
        <v>3</v>
      </c>
      <c r="J220" s="3">
        <v>20</v>
      </c>
      <c r="K220" s="1" t="s">
        <v>66</v>
      </c>
      <c r="L220" s="1" t="s">
        <v>86</v>
      </c>
      <c r="M220" s="1" t="s">
        <v>84</v>
      </c>
    </row>
    <row r="221" spans="1:13" ht="27.6">
      <c r="A221" s="2">
        <v>45984</v>
      </c>
      <c r="B221" s="13" t="s">
        <v>110</v>
      </c>
      <c r="C221" s="1" t="s">
        <v>85</v>
      </c>
      <c r="D221" s="1" t="s">
        <v>30</v>
      </c>
      <c r="E221" s="1" t="s">
        <v>22</v>
      </c>
      <c r="F221" s="1" t="s">
        <v>61</v>
      </c>
      <c r="G221" s="1" t="s">
        <v>37</v>
      </c>
      <c r="H221" s="1" t="s">
        <v>52</v>
      </c>
      <c r="I221" s="3">
        <v>1</v>
      </c>
      <c r="J221" s="3">
        <v>20</v>
      </c>
      <c r="K221" s="1" t="s">
        <v>66</v>
      </c>
      <c r="L221" s="1" t="s">
        <v>86</v>
      </c>
      <c r="M221" s="1" t="s">
        <v>98</v>
      </c>
    </row>
    <row r="222" spans="1:13" ht="27.6">
      <c r="A222" s="2">
        <v>45980</v>
      </c>
      <c r="B222" s="13" t="s">
        <v>110</v>
      </c>
      <c r="C222" s="1" t="s">
        <v>93</v>
      </c>
      <c r="D222" s="1" t="s">
        <v>32</v>
      </c>
      <c r="E222" s="1" t="s">
        <v>25</v>
      </c>
      <c r="F222" s="1" t="s">
        <v>58</v>
      </c>
      <c r="G222" s="1" t="s">
        <v>41</v>
      </c>
      <c r="H222" s="1" t="s">
        <v>49</v>
      </c>
      <c r="I222" s="3">
        <v>26</v>
      </c>
      <c r="J222" s="3">
        <v>20</v>
      </c>
      <c r="K222" s="1" t="s">
        <v>65</v>
      </c>
      <c r="L222" s="1" t="s">
        <v>90</v>
      </c>
      <c r="M222" s="1" t="s">
        <v>97</v>
      </c>
    </row>
    <row r="223" spans="1:13" ht="27.6">
      <c r="A223" s="2">
        <v>45993</v>
      </c>
      <c r="B223" s="13" t="s">
        <v>111</v>
      </c>
      <c r="C223" s="1" t="s">
        <v>88</v>
      </c>
      <c r="D223" s="1" t="s">
        <v>31</v>
      </c>
      <c r="E223" s="1" t="s">
        <v>15</v>
      </c>
      <c r="F223" s="1" t="s">
        <v>59</v>
      </c>
      <c r="G223" s="1" t="s">
        <v>36</v>
      </c>
      <c r="H223" s="1" t="s">
        <v>51</v>
      </c>
      <c r="I223" s="3">
        <v>6</v>
      </c>
      <c r="J223" s="3">
        <v>20</v>
      </c>
      <c r="K223" s="1" t="s">
        <v>66</v>
      </c>
      <c r="L223" s="1" t="s">
        <v>86</v>
      </c>
      <c r="M223" s="1" t="s">
        <v>97</v>
      </c>
    </row>
    <row r="224" spans="1:13">
      <c r="A224" s="2">
        <v>46006</v>
      </c>
      <c r="B224" s="13" t="s">
        <v>111</v>
      </c>
      <c r="C224" s="1" t="s">
        <v>85</v>
      </c>
      <c r="D224" s="1" t="s">
        <v>31</v>
      </c>
      <c r="E224" s="1" t="s">
        <v>20</v>
      </c>
      <c r="F224" s="1" t="s">
        <v>56</v>
      </c>
      <c r="G224" s="1" t="s">
        <v>42</v>
      </c>
      <c r="H224" s="1" t="s">
        <v>50</v>
      </c>
      <c r="I224" s="3">
        <v>11</v>
      </c>
      <c r="J224" s="3">
        <v>20</v>
      </c>
      <c r="K224" s="1" t="s">
        <v>66</v>
      </c>
      <c r="L224" s="1" t="s">
        <v>86</v>
      </c>
      <c r="M224" s="1" t="s">
        <v>94</v>
      </c>
    </row>
    <row r="225" spans="1:13">
      <c r="A225" s="2">
        <v>46009</v>
      </c>
      <c r="B225" s="13" t="s">
        <v>111</v>
      </c>
      <c r="C225" s="1" t="s">
        <v>93</v>
      </c>
      <c r="D225" s="1" t="s">
        <v>29</v>
      </c>
      <c r="E225" s="1" t="s">
        <v>26</v>
      </c>
      <c r="F225" s="1" t="s">
        <v>61</v>
      </c>
      <c r="G225" s="1" t="s">
        <v>42</v>
      </c>
      <c r="H225" s="1" t="s">
        <v>50</v>
      </c>
      <c r="I225" s="3">
        <v>18</v>
      </c>
      <c r="J225" s="3">
        <v>30</v>
      </c>
      <c r="K225" s="1" t="s">
        <v>66</v>
      </c>
      <c r="L225" s="1" t="s">
        <v>86</v>
      </c>
      <c r="M225" s="1" t="s">
        <v>94</v>
      </c>
    </row>
    <row r="226" spans="1:13">
      <c r="A226" s="2">
        <v>46000</v>
      </c>
      <c r="B226" s="13" t="s">
        <v>111</v>
      </c>
      <c r="C226" s="1" t="s">
        <v>92</v>
      </c>
      <c r="D226" s="1" t="s">
        <v>29</v>
      </c>
      <c r="E226" s="1" t="s">
        <v>22</v>
      </c>
      <c r="F226" s="1" t="s">
        <v>56</v>
      </c>
      <c r="G226" s="1" t="s">
        <v>43</v>
      </c>
      <c r="H226" s="1" t="s">
        <v>50</v>
      </c>
      <c r="I226" s="3">
        <v>1</v>
      </c>
      <c r="J226" s="3">
        <v>30</v>
      </c>
      <c r="K226" s="1" t="s">
        <v>66</v>
      </c>
      <c r="L226" s="1" t="s">
        <v>86</v>
      </c>
      <c r="M226" s="1" t="s">
        <v>89</v>
      </c>
    </row>
    <row r="227" spans="1:13">
      <c r="A227" s="2">
        <v>46011</v>
      </c>
      <c r="B227" s="13" t="s">
        <v>111</v>
      </c>
      <c r="C227" s="1" t="s">
        <v>93</v>
      </c>
      <c r="D227" s="1" t="s">
        <v>31</v>
      </c>
      <c r="E227" s="1" t="s">
        <v>25</v>
      </c>
      <c r="F227" s="1" t="s">
        <v>58</v>
      </c>
      <c r="G227" s="1" t="s">
        <v>37</v>
      </c>
      <c r="H227" s="1" t="s">
        <v>51</v>
      </c>
      <c r="I227" s="3">
        <v>15</v>
      </c>
      <c r="J227" s="3">
        <v>20</v>
      </c>
      <c r="K227" s="1" t="s">
        <v>66</v>
      </c>
      <c r="L227" s="1" t="s">
        <v>86</v>
      </c>
      <c r="M227" s="1" t="s">
        <v>84</v>
      </c>
    </row>
    <row r="228" spans="1:13" ht="27.6">
      <c r="A228" s="2">
        <v>46015</v>
      </c>
      <c r="B228" s="13" t="s">
        <v>111</v>
      </c>
      <c r="C228" s="1" t="s">
        <v>93</v>
      </c>
      <c r="D228" s="1" t="s">
        <v>30</v>
      </c>
      <c r="E228" s="1" t="s">
        <v>17</v>
      </c>
      <c r="F228" s="1" t="s">
        <v>55</v>
      </c>
      <c r="G228" s="1" t="s">
        <v>46</v>
      </c>
      <c r="H228" s="1" t="s">
        <v>52</v>
      </c>
      <c r="I228" s="3">
        <v>7</v>
      </c>
      <c r="J228" s="3">
        <v>20</v>
      </c>
      <c r="K228" s="1" t="s">
        <v>66</v>
      </c>
      <c r="L228" s="1" t="s">
        <v>86</v>
      </c>
      <c r="M228" s="1" t="s">
        <v>96</v>
      </c>
    </row>
    <row r="229" spans="1:13">
      <c r="A229" s="2">
        <v>46015</v>
      </c>
      <c r="B229" s="13" t="s">
        <v>111</v>
      </c>
      <c r="C229" s="1" t="s">
        <v>85</v>
      </c>
      <c r="D229" s="1" t="s">
        <v>31</v>
      </c>
      <c r="E229" s="1" t="s">
        <v>15</v>
      </c>
      <c r="F229" s="1" t="s">
        <v>62</v>
      </c>
      <c r="G229" s="1" t="s">
        <v>39</v>
      </c>
      <c r="H229" s="1" t="s">
        <v>51</v>
      </c>
      <c r="I229" s="3">
        <v>17</v>
      </c>
      <c r="J229" s="3">
        <v>20</v>
      </c>
      <c r="K229" s="1" t="s">
        <v>66</v>
      </c>
      <c r="L229" s="1" t="s">
        <v>90</v>
      </c>
      <c r="M229" s="1" t="s">
        <v>96</v>
      </c>
    </row>
    <row r="230" spans="1:13">
      <c r="A230" s="2">
        <v>45997</v>
      </c>
      <c r="B230" s="13" t="s">
        <v>111</v>
      </c>
      <c r="C230" s="1" t="s">
        <v>93</v>
      </c>
      <c r="D230" s="1" t="s">
        <v>33</v>
      </c>
      <c r="E230" s="1" t="s">
        <v>22</v>
      </c>
      <c r="F230" s="1" t="s">
        <v>58</v>
      </c>
      <c r="G230" s="1" t="s">
        <v>37</v>
      </c>
      <c r="H230" s="1" t="s">
        <v>50</v>
      </c>
      <c r="I230" s="3">
        <v>9</v>
      </c>
      <c r="J230" s="3">
        <v>20</v>
      </c>
      <c r="K230" s="1" t="s">
        <v>66</v>
      </c>
      <c r="L230" s="1" t="s">
        <v>90</v>
      </c>
      <c r="M230" s="1" t="s">
        <v>96</v>
      </c>
    </row>
    <row r="231" spans="1:13" ht="27.6">
      <c r="A231" s="2">
        <v>45993</v>
      </c>
      <c r="B231" s="13" t="s">
        <v>111</v>
      </c>
      <c r="C231" s="1" t="s">
        <v>93</v>
      </c>
      <c r="D231" s="1" t="s">
        <v>29</v>
      </c>
      <c r="E231" s="1" t="s">
        <v>26</v>
      </c>
      <c r="F231" s="1" t="s">
        <v>62</v>
      </c>
      <c r="G231" s="1" t="s">
        <v>42</v>
      </c>
      <c r="H231" s="1" t="s">
        <v>49</v>
      </c>
      <c r="I231" s="3">
        <v>28</v>
      </c>
      <c r="J231" s="3">
        <v>30</v>
      </c>
      <c r="K231" s="1" t="s">
        <v>66</v>
      </c>
      <c r="L231" s="1" t="s">
        <v>90</v>
      </c>
      <c r="M231" s="1" t="s">
        <v>96</v>
      </c>
    </row>
    <row r="232" spans="1:13">
      <c r="A232" s="2">
        <v>45993</v>
      </c>
      <c r="B232" s="13" t="s">
        <v>111</v>
      </c>
      <c r="C232" s="1" t="s">
        <v>88</v>
      </c>
      <c r="D232" s="1" t="s">
        <v>32</v>
      </c>
      <c r="E232" s="1" t="s">
        <v>15</v>
      </c>
      <c r="F232" s="1" t="s">
        <v>56</v>
      </c>
      <c r="G232" s="1" t="s">
        <v>41</v>
      </c>
      <c r="H232" s="1" t="s">
        <v>53</v>
      </c>
      <c r="I232" s="3">
        <v>1</v>
      </c>
      <c r="J232" s="3">
        <v>20</v>
      </c>
      <c r="K232" s="1" t="s">
        <v>66</v>
      </c>
      <c r="L232" s="1" t="s">
        <v>86</v>
      </c>
      <c r="M232" s="1" t="s">
        <v>84</v>
      </c>
    </row>
    <row r="233" spans="1:13">
      <c r="A233" s="2">
        <v>46005</v>
      </c>
      <c r="B233" s="13" t="s">
        <v>111</v>
      </c>
      <c r="C233" s="1" t="s">
        <v>95</v>
      </c>
      <c r="D233" s="1" t="s">
        <v>28</v>
      </c>
      <c r="E233" s="1" t="s">
        <v>15</v>
      </c>
      <c r="F233" s="1" t="s">
        <v>55</v>
      </c>
      <c r="G233" s="1" t="s">
        <v>36</v>
      </c>
      <c r="H233" s="1" t="s">
        <v>52</v>
      </c>
      <c r="I233" s="3">
        <v>5</v>
      </c>
      <c r="J233" s="3">
        <v>30</v>
      </c>
      <c r="K233" s="1" t="s">
        <v>66</v>
      </c>
      <c r="L233" s="1" t="s">
        <v>83</v>
      </c>
      <c r="M233" s="1" t="s">
        <v>84</v>
      </c>
    </row>
    <row r="234" spans="1:13" ht="27.6">
      <c r="A234" s="2">
        <v>46013</v>
      </c>
      <c r="B234" s="13" t="s">
        <v>111</v>
      </c>
      <c r="C234" s="1" t="s">
        <v>82</v>
      </c>
      <c r="D234" s="1" t="s">
        <v>30</v>
      </c>
      <c r="E234" s="1" t="s">
        <v>23</v>
      </c>
      <c r="F234" s="1" t="s">
        <v>55</v>
      </c>
      <c r="G234" s="1" t="s">
        <v>42</v>
      </c>
      <c r="H234" s="1" t="s">
        <v>49</v>
      </c>
      <c r="I234" s="3">
        <v>15</v>
      </c>
      <c r="J234" s="3">
        <v>20</v>
      </c>
      <c r="K234" s="1" t="s">
        <v>66</v>
      </c>
      <c r="L234" s="1" t="s">
        <v>86</v>
      </c>
      <c r="M234" s="1" t="s">
        <v>98</v>
      </c>
    </row>
    <row r="235" spans="1:13" ht="27.6">
      <c r="A235" s="2">
        <v>45999</v>
      </c>
      <c r="B235" s="13" t="s">
        <v>111</v>
      </c>
      <c r="C235" s="1" t="s">
        <v>85</v>
      </c>
      <c r="D235" s="1" t="s">
        <v>31</v>
      </c>
      <c r="E235" s="1" t="s">
        <v>18</v>
      </c>
      <c r="F235" s="1" t="s">
        <v>60</v>
      </c>
      <c r="G235" s="1" t="s">
        <v>46</v>
      </c>
      <c r="H235" s="1" t="s">
        <v>53</v>
      </c>
      <c r="I235" s="3">
        <v>8</v>
      </c>
      <c r="J235" s="3">
        <v>20</v>
      </c>
      <c r="K235" s="1" t="s">
        <v>66</v>
      </c>
      <c r="L235" s="1" t="s">
        <v>83</v>
      </c>
      <c r="M235" s="1" t="s">
        <v>102</v>
      </c>
    </row>
    <row r="236" spans="1:13" ht="27.6">
      <c r="A236" s="2">
        <v>46011</v>
      </c>
      <c r="B236" s="13" t="s">
        <v>111</v>
      </c>
      <c r="C236" s="1" t="s">
        <v>92</v>
      </c>
      <c r="D236" s="1" t="s">
        <v>29</v>
      </c>
      <c r="E236" s="1" t="s">
        <v>20</v>
      </c>
      <c r="F236" s="1" t="s">
        <v>60</v>
      </c>
      <c r="G236" s="1" t="s">
        <v>36</v>
      </c>
      <c r="H236" s="1" t="s">
        <v>52</v>
      </c>
      <c r="I236" s="3">
        <v>1</v>
      </c>
      <c r="J236" s="3">
        <v>30</v>
      </c>
      <c r="K236" s="1" t="s">
        <v>66</v>
      </c>
      <c r="L236" s="1" t="s">
        <v>90</v>
      </c>
      <c r="M236" s="1" t="s">
        <v>98</v>
      </c>
    </row>
    <row r="237" spans="1:13" ht="27.6">
      <c r="A237" s="2">
        <v>46009</v>
      </c>
      <c r="B237" s="13" t="s">
        <v>111</v>
      </c>
      <c r="C237" s="1" t="s">
        <v>88</v>
      </c>
      <c r="D237" s="1" t="s">
        <v>28</v>
      </c>
      <c r="E237" s="1" t="s">
        <v>26</v>
      </c>
      <c r="F237" s="1" t="s">
        <v>60</v>
      </c>
      <c r="G237" s="1" t="s">
        <v>39</v>
      </c>
      <c r="H237" s="1" t="s">
        <v>52</v>
      </c>
      <c r="I237" s="3">
        <v>15</v>
      </c>
      <c r="J237" s="3">
        <v>30</v>
      </c>
      <c r="K237" s="1" t="s">
        <v>66</v>
      </c>
      <c r="L237" s="1" t="s">
        <v>83</v>
      </c>
      <c r="M237" s="1" t="s">
        <v>98</v>
      </c>
    </row>
    <row r="238" spans="1:13">
      <c r="A238" s="2">
        <v>45998</v>
      </c>
      <c r="B238" s="13" t="s">
        <v>111</v>
      </c>
      <c r="C238" s="1" t="s">
        <v>93</v>
      </c>
      <c r="D238" s="1" t="s">
        <v>33</v>
      </c>
      <c r="E238" s="1" t="s">
        <v>26</v>
      </c>
      <c r="F238" s="1" t="s">
        <v>55</v>
      </c>
      <c r="G238" s="1" t="s">
        <v>42</v>
      </c>
      <c r="H238" s="1" t="s">
        <v>51</v>
      </c>
      <c r="I238" s="3">
        <v>14</v>
      </c>
      <c r="J238" s="3">
        <v>20</v>
      </c>
      <c r="K238" s="1" t="s">
        <v>66</v>
      </c>
      <c r="L238" s="1" t="s">
        <v>90</v>
      </c>
      <c r="M238" s="1" t="s">
        <v>89</v>
      </c>
    </row>
    <row r="239" spans="1:13" ht="27.6">
      <c r="A239" s="2">
        <v>46001</v>
      </c>
      <c r="B239" s="13" t="s">
        <v>111</v>
      </c>
      <c r="C239" s="1" t="s">
        <v>92</v>
      </c>
      <c r="D239" s="1" t="s">
        <v>28</v>
      </c>
      <c r="E239" s="1" t="s">
        <v>21</v>
      </c>
      <c r="F239" s="1" t="s">
        <v>61</v>
      </c>
      <c r="G239" s="1" t="s">
        <v>36</v>
      </c>
      <c r="H239" s="1" t="s">
        <v>49</v>
      </c>
      <c r="I239" s="3">
        <v>19</v>
      </c>
      <c r="J239" s="3">
        <v>30</v>
      </c>
      <c r="K239" s="1" t="s">
        <v>66</v>
      </c>
      <c r="L239" s="1" t="s">
        <v>90</v>
      </c>
      <c r="M239" s="1" t="s">
        <v>91</v>
      </c>
    </row>
    <row r="240" spans="1:13">
      <c r="A240" s="2">
        <v>46000</v>
      </c>
      <c r="B240" s="13" t="s">
        <v>111</v>
      </c>
      <c r="C240" s="1" t="s">
        <v>85</v>
      </c>
      <c r="D240" s="1" t="s">
        <v>32</v>
      </c>
      <c r="E240" s="1" t="s">
        <v>22</v>
      </c>
      <c r="F240" s="1" t="s">
        <v>62</v>
      </c>
      <c r="G240" s="1" t="s">
        <v>37</v>
      </c>
      <c r="H240" s="1" t="s">
        <v>51</v>
      </c>
      <c r="I240" s="3">
        <v>10</v>
      </c>
      <c r="J240" s="3">
        <v>20</v>
      </c>
      <c r="K240" s="1" t="s">
        <v>66</v>
      </c>
      <c r="L240" s="1" t="s">
        <v>90</v>
      </c>
      <c r="M240" s="1" t="s">
        <v>98</v>
      </c>
    </row>
    <row r="241" spans="1:13" ht="27.6">
      <c r="A241" s="2">
        <v>46002</v>
      </c>
      <c r="B241" s="13" t="s">
        <v>111</v>
      </c>
      <c r="C241" s="1" t="s">
        <v>93</v>
      </c>
      <c r="D241" s="1" t="s">
        <v>31</v>
      </c>
      <c r="E241" s="1" t="s">
        <v>22</v>
      </c>
      <c r="F241" s="1" t="s">
        <v>59</v>
      </c>
      <c r="G241" s="1" t="s">
        <v>39</v>
      </c>
      <c r="H241" s="1" t="s">
        <v>53</v>
      </c>
      <c r="I241" s="3">
        <f>AVERAGE(I2:I240)</f>
        <v>10.803347280334728</v>
      </c>
      <c r="J241" s="3">
        <v>20</v>
      </c>
      <c r="K241" s="1" t="s">
        <v>65</v>
      </c>
      <c r="L241" s="1" t="s">
        <v>86</v>
      </c>
      <c r="M241" s="1" t="s">
        <v>97</v>
      </c>
    </row>
    <row r="242" spans="1:13">
      <c r="I242" s="11">
        <f>SUBTOTAL(101,BaseOuvidoria[Dias_Resposta])</f>
        <v>10.803347280334728</v>
      </c>
      <c r="J242" s="11">
        <f>SUBTOTAL(101,BaseOuvidoria[Prazo_Dias])</f>
        <v>22.791666666666668</v>
      </c>
    </row>
    <row r="248" spans="1:13" ht="12.75" customHeight="1"/>
    <row r="249" spans="1:13" s="4" customFormat="1">
      <c r="A249"/>
      <c r="B249" s="14"/>
      <c r="C249"/>
      <c r="D249"/>
      <c r="E249"/>
      <c r="F249"/>
      <c r="G249"/>
      <c r="H249"/>
      <c r="I249"/>
      <c r="J249"/>
      <c r="K249"/>
      <c r="L249"/>
      <c r="M249"/>
    </row>
    <row r="250" spans="1:13">
      <c r="A250" s="4"/>
      <c r="B250" s="15"/>
      <c r="C250" s="4"/>
      <c r="D250" s="4"/>
      <c r="E250" s="4"/>
      <c r="F250" s="4"/>
      <c r="G250" s="4"/>
      <c r="H250" s="4"/>
      <c r="I250" s="4"/>
      <c r="J250" s="4"/>
      <c r="K250" s="4"/>
      <c r="L250" s="4"/>
      <c r="M250" s="4"/>
    </row>
    <row r="251" spans="1:13">
      <c r="A251" s="7"/>
      <c r="B251" s="16"/>
      <c r="C251" s="6"/>
      <c r="D251" s="6"/>
      <c r="E251" s="6"/>
      <c r="F251" s="6"/>
      <c r="G251" s="8"/>
      <c r="H251" s="8"/>
      <c r="I251" s="6"/>
      <c r="J251" s="6"/>
      <c r="K251" s="8"/>
      <c r="L251" s="6"/>
      <c r="M251" s="5"/>
    </row>
    <row r="252" spans="1:13">
      <c r="A252" s="7"/>
      <c r="B252" s="16"/>
      <c r="C252" s="6"/>
      <c r="D252" s="6"/>
      <c r="E252" s="6"/>
      <c r="F252" s="6"/>
      <c r="G252" s="8"/>
      <c r="H252" s="8"/>
      <c r="I252" s="6"/>
      <c r="J252" s="6"/>
      <c r="K252" s="8"/>
      <c r="L252" s="6"/>
      <c r="M252" s="5"/>
    </row>
    <row r="253" spans="1:13">
      <c r="A253" s="7"/>
      <c r="B253" s="16"/>
      <c r="C253" s="6"/>
      <c r="D253" s="6"/>
      <c r="E253" s="6"/>
      <c r="F253" s="6"/>
      <c r="G253" s="8"/>
      <c r="H253" s="8"/>
      <c r="I253" s="6"/>
      <c r="J253" s="6"/>
      <c r="K253" s="8"/>
      <c r="L253" s="6"/>
      <c r="M253" s="5"/>
    </row>
    <row r="254" spans="1:13">
      <c r="A254" s="7"/>
      <c r="B254" s="16"/>
      <c r="C254" s="6"/>
      <c r="D254" s="6"/>
      <c r="E254" s="6"/>
      <c r="F254" s="6"/>
      <c r="G254" s="8"/>
      <c r="H254" s="8"/>
      <c r="I254" s="6"/>
      <c r="J254" s="6"/>
      <c r="K254" s="8"/>
      <c r="L254" s="6"/>
      <c r="M254" s="5"/>
    </row>
    <row r="255" spans="1:13">
      <c r="A255" s="7"/>
      <c r="B255" s="16"/>
      <c r="C255" s="6"/>
      <c r="D255" s="6"/>
      <c r="E255" s="6"/>
      <c r="F255" s="6"/>
      <c r="G255" s="8"/>
      <c r="H255" s="8"/>
      <c r="I255" s="6"/>
      <c r="J255" s="6"/>
      <c r="K255" s="8"/>
      <c r="L255" s="6"/>
      <c r="M255" s="5"/>
    </row>
    <row r="256" spans="1:13">
      <c r="A256" s="7"/>
      <c r="B256" s="16"/>
      <c r="C256" s="6"/>
      <c r="D256" s="6"/>
      <c r="E256" s="6"/>
      <c r="F256" s="6"/>
      <c r="G256" s="8"/>
      <c r="H256" s="8"/>
      <c r="I256" s="6"/>
      <c r="J256" s="6"/>
      <c r="K256" s="8"/>
      <c r="L256" s="6"/>
      <c r="M256" s="5"/>
    </row>
    <row r="257" spans="1:13">
      <c r="A257" s="7"/>
      <c r="B257" s="16"/>
      <c r="C257" s="6"/>
      <c r="D257" s="6"/>
      <c r="E257" s="6"/>
      <c r="F257" s="6"/>
      <c r="G257" s="8"/>
      <c r="H257" s="8"/>
      <c r="I257" s="6"/>
      <c r="J257" s="6"/>
      <c r="K257" s="8"/>
      <c r="L257" s="6"/>
      <c r="M257" s="5"/>
    </row>
    <row r="258" spans="1:13">
      <c r="A258" s="7"/>
      <c r="B258" s="16"/>
      <c r="C258" s="6"/>
      <c r="D258" s="6"/>
      <c r="E258" s="6"/>
      <c r="F258" s="6"/>
      <c r="G258" s="8"/>
      <c r="H258" s="8"/>
      <c r="I258" s="6"/>
      <c r="J258" s="6"/>
      <c r="K258" s="8"/>
      <c r="L258" s="6"/>
      <c r="M258" s="5"/>
    </row>
    <row r="259" spans="1:13">
      <c r="A259" s="7"/>
      <c r="B259" s="16"/>
      <c r="C259" s="6"/>
      <c r="D259" s="6"/>
      <c r="E259" s="6"/>
      <c r="F259" s="6"/>
      <c r="G259" s="8"/>
      <c r="H259" s="8"/>
      <c r="I259" s="6"/>
      <c r="J259" s="6"/>
      <c r="K259" s="8"/>
      <c r="L259" s="6"/>
      <c r="M259" s="5"/>
    </row>
    <row r="260" spans="1:13">
      <c r="A260" s="7"/>
      <c r="B260" s="16"/>
      <c r="C260" s="6"/>
      <c r="D260" s="6"/>
      <c r="E260" s="6"/>
      <c r="F260" s="6"/>
      <c r="G260" s="8"/>
      <c r="H260" s="8"/>
      <c r="I260" s="6"/>
      <c r="J260" s="6"/>
      <c r="K260" s="8"/>
      <c r="L260" s="6"/>
      <c r="M260" s="5"/>
    </row>
    <row r="261" spans="1:13">
      <c r="A261" s="7"/>
      <c r="B261" s="16"/>
      <c r="C261" s="6"/>
      <c r="D261" s="6"/>
      <c r="E261" s="6"/>
      <c r="F261" s="6"/>
      <c r="G261" s="8"/>
      <c r="H261" s="8"/>
      <c r="I261" s="6"/>
      <c r="J261" s="6"/>
      <c r="K261" s="8"/>
      <c r="L261" s="6"/>
      <c r="M261" s="5"/>
    </row>
    <row r="262" spans="1:13">
      <c r="A262" s="7"/>
      <c r="B262" s="16"/>
      <c r="C262" s="6"/>
      <c r="D262" s="6"/>
      <c r="E262" s="6"/>
      <c r="F262" s="6"/>
      <c r="G262" s="8"/>
      <c r="H262" s="8"/>
      <c r="I262" s="6"/>
      <c r="J262" s="6"/>
      <c r="K262" s="8"/>
      <c r="L262" s="6"/>
      <c r="M262" s="5"/>
    </row>
    <row r="263" spans="1:13">
      <c r="A263" s="7"/>
      <c r="B263" s="16"/>
      <c r="C263" s="6"/>
      <c r="D263" s="6"/>
      <c r="E263" s="6"/>
      <c r="F263" s="6"/>
      <c r="G263" s="8"/>
      <c r="H263" s="8"/>
      <c r="I263" s="6"/>
      <c r="J263" s="6"/>
      <c r="K263" s="8"/>
      <c r="L263" s="6"/>
      <c r="M263" s="5"/>
    </row>
    <row r="264" spans="1:13">
      <c r="A264" s="7"/>
      <c r="B264" s="16"/>
      <c r="C264" s="6"/>
      <c r="D264" s="6"/>
      <c r="E264" s="6"/>
      <c r="F264" s="6"/>
      <c r="G264" s="8"/>
      <c r="H264" s="8"/>
      <c r="I264" s="6"/>
      <c r="J264" s="6"/>
      <c r="K264" s="8"/>
      <c r="L264" s="6"/>
      <c r="M264" s="5"/>
    </row>
    <row r="265" spans="1:13">
      <c r="A265" s="7"/>
      <c r="B265" s="16"/>
      <c r="C265" s="6"/>
      <c r="D265" s="6"/>
      <c r="E265" s="6"/>
      <c r="F265" s="6"/>
      <c r="G265" s="8"/>
      <c r="H265" s="8"/>
      <c r="I265" s="6"/>
      <c r="J265" s="6"/>
      <c r="K265" s="8"/>
      <c r="L265" s="6"/>
      <c r="M265" s="5"/>
    </row>
    <row r="266" spans="1:13">
      <c r="A266" s="7"/>
      <c r="B266" s="16"/>
      <c r="C266" s="6"/>
      <c r="D266" s="6"/>
      <c r="E266" s="6"/>
      <c r="F266" s="6"/>
      <c r="G266" s="8"/>
      <c r="H266" s="8"/>
      <c r="I266" s="6"/>
      <c r="J266" s="6"/>
      <c r="K266" s="8"/>
      <c r="L266" s="6"/>
      <c r="M266" s="5"/>
    </row>
    <row r="267" spans="1:13">
      <c r="A267" s="5"/>
      <c r="B267" s="17"/>
      <c r="C267" s="5"/>
      <c r="D267" s="5"/>
      <c r="E267" s="5"/>
      <c r="F267" s="5"/>
      <c r="G267" s="5"/>
      <c r="H267" s="5"/>
      <c r="I267" s="5"/>
      <c r="J267" s="5"/>
      <c r="K267" s="5"/>
      <c r="L267" s="5"/>
      <c r="M267" s="5"/>
    </row>
    <row r="268" spans="1:13">
      <c r="A268" s="9"/>
      <c r="B268" s="17"/>
      <c r="C268" s="5"/>
      <c r="D268" s="5"/>
      <c r="E268" s="5"/>
      <c r="F268" s="5"/>
      <c r="G268" s="5"/>
      <c r="H268" s="5"/>
      <c r="I268" s="5"/>
      <c r="J268" s="5"/>
      <c r="K268" s="5"/>
      <c r="L268" s="5"/>
      <c r="M268" s="5"/>
    </row>
    <row r="269" spans="1:13">
      <c r="A269" s="5"/>
      <c r="B269" s="17"/>
      <c r="C269" s="5"/>
      <c r="D269" s="5"/>
      <c r="E269" s="5"/>
      <c r="F269" s="5"/>
      <c r="G269" s="5"/>
      <c r="H269" s="5"/>
      <c r="I269" s="5"/>
      <c r="J269" s="5"/>
      <c r="K269" s="5"/>
      <c r="L269" s="5"/>
      <c r="M269" s="5"/>
    </row>
    <row r="270" spans="1:13">
      <c r="A270" s="5"/>
      <c r="B270" s="17"/>
      <c r="C270" s="5"/>
      <c r="D270" s="5"/>
      <c r="E270" s="5"/>
      <c r="F270" s="5"/>
      <c r="G270" s="5"/>
      <c r="H270" s="5"/>
      <c r="I270" s="5"/>
      <c r="J270" s="5"/>
      <c r="K270" s="5"/>
      <c r="L270" s="5"/>
      <c r="M270" s="5"/>
    </row>
    <row r="271" spans="1:13">
      <c r="A271" s="5"/>
      <c r="B271" s="17"/>
      <c r="C271" s="5"/>
      <c r="D271" s="5"/>
      <c r="E271" s="5"/>
      <c r="F271" s="5"/>
      <c r="G271" s="5"/>
      <c r="H271" s="5"/>
      <c r="I271" s="5"/>
      <c r="J271" s="5"/>
      <c r="K271" s="5"/>
      <c r="L271" s="5"/>
      <c r="M271" s="5"/>
    </row>
    <row r="272" spans="1:13">
      <c r="A272" s="5"/>
      <c r="B272" s="17"/>
      <c r="C272" s="5"/>
      <c r="D272" s="5"/>
      <c r="E272" s="5"/>
      <c r="F272" s="5"/>
      <c r="G272" s="5"/>
      <c r="H272" s="5"/>
      <c r="I272" s="5"/>
      <c r="J272" s="5"/>
      <c r="K272" s="5"/>
      <c r="L272" s="5"/>
      <c r="M272" s="5"/>
    </row>
    <row r="273" spans="1:13">
      <c r="A273" s="5"/>
      <c r="B273" s="17"/>
      <c r="C273" s="5"/>
      <c r="D273" s="5"/>
      <c r="E273" s="5"/>
      <c r="F273" s="5"/>
      <c r="G273" s="5"/>
      <c r="H273" s="5"/>
      <c r="I273" s="5"/>
      <c r="J273" s="5"/>
      <c r="K273" s="5"/>
      <c r="L273" s="5"/>
      <c r="M273" s="5"/>
    </row>
    <row r="274" spans="1:13">
      <c r="A274" s="5"/>
      <c r="B274" s="17"/>
      <c r="C274" s="5"/>
      <c r="D274" s="5"/>
      <c r="E274" s="5"/>
      <c r="F274" s="5"/>
      <c r="G274" s="5"/>
      <c r="H274" s="5"/>
      <c r="I274" s="5"/>
      <c r="J274" s="5"/>
      <c r="K274" s="5"/>
      <c r="L274" s="5"/>
      <c r="M274" s="5"/>
    </row>
    <row r="275" spans="1:13">
      <c r="A275" s="5"/>
      <c r="B275" s="17"/>
      <c r="C275" s="5"/>
      <c r="D275" s="5"/>
      <c r="E275" s="5"/>
      <c r="F275" s="5"/>
      <c r="G275" s="5"/>
      <c r="H275" s="5"/>
      <c r="I275" s="5"/>
      <c r="J275" s="5"/>
      <c r="K275" s="5"/>
      <c r="L275" s="5"/>
      <c r="M275" s="5"/>
    </row>
    <row r="276" spans="1:13">
      <c r="A276" s="5"/>
      <c r="B276" s="17"/>
      <c r="C276" s="5"/>
      <c r="D276" s="5"/>
      <c r="E276" s="5"/>
      <c r="F276" s="5"/>
      <c r="G276" s="5"/>
      <c r="H276" s="5"/>
      <c r="I276" s="5"/>
      <c r="J276" s="5"/>
      <c r="K276" s="5"/>
      <c r="L276" s="5"/>
      <c r="M276" s="5"/>
    </row>
    <row r="277" spans="1:13">
      <c r="A277" s="5"/>
      <c r="B277" s="17"/>
      <c r="C277" s="5"/>
      <c r="D277" s="5"/>
      <c r="E277" s="5"/>
      <c r="F277" s="5"/>
      <c r="G277" s="5"/>
      <c r="H277" s="5"/>
      <c r="I277" s="5"/>
      <c r="J277" s="5"/>
      <c r="K277" s="5"/>
      <c r="L277" s="5"/>
      <c r="M277" s="5"/>
    </row>
    <row r="278" spans="1:13">
      <c r="A278" s="5"/>
      <c r="B278" s="17"/>
      <c r="C278" s="5"/>
      <c r="D278" s="5"/>
      <c r="E278" s="5"/>
      <c r="F278" s="5"/>
      <c r="G278" s="5"/>
      <c r="H278" s="5"/>
      <c r="I278" s="5"/>
      <c r="J278" s="5"/>
      <c r="K278" s="5"/>
      <c r="L278" s="5"/>
      <c r="M278" s="5"/>
    </row>
    <row r="279" spans="1:13">
      <c r="A279" s="5"/>
      <c r="B279" s="17"/>
      <c r="C279" s="5"/>
      <c r="D279" s="5"/>
      <c r="E279" s="5"/>
      <c r="F279" s="5"/>
      <c r="G279" s="5"/>
      <c r="H279" s="5"/>
      <c r="I279" s="5"/>
      <c r="J279" s="5"/>
      <c r="K279" s="5"/>
      <c r="L279" s="5"/>
      <c r="M279" s="5"/>
    </row>
    <row r="280" spans="1:13">
      <c r="A280" s="5"/>
      <c r="B280" s="17"/>
      <c r="C280" s="5"/>
      <c r="D280" s="5"/>
      <c r="E280" s="5"/>
      <c r="F280" s="5"/>
      <c r="G280" s="5"/>
      <c r="H280" s="5"/>
      <c r="I280" s="5"/>
      <c r="J280" s="5"/>
      <c r="K280" s="5"/>
      <c r="L280" s="5"/>
      <c r="M280" s="5"/>
    </row>
    <row r="281" spans="1:13">
      <c r="A281" s="5"/>
      <c r="B281" s="17"/>
      <c r="C281" s="5"/>
      <c r="D281" s="5"/>
      <c r="E281" s="5"/>
      <c r="F281" s="5"/>
      <c r="G281" s="5"/>
      <c r="H281" s="5"/>
      <c r="I281" s="5"/>
      <c r="J281" s="5"/>
      <c r="K281" s="5"/>
      <c r="L281" s="5"/>
      <c r="M281" s="5"/>
    </row>
    <row r="282" spans="1:13">
      <c r="A282" s="5"/>
      <c r="B282" s="17"/>
      <c r="C282" s="5"/>
      <c r="D282" s="5"/>
      <c r="E282" s="5"/>
      <c r="F282" s="5"/>
      <c r="G282" s="5"/>
      <c r="H282" s="5"/>
      <c r="I282" s="5"/>
      <c r="J282" s="5"/>
      <c r="K282" s="5"/>
      <c r="L282" s="5"/>
      <c r="M282" s="5"/>
    </row>
    <row r="283" spans="1:13">
      <c r="A283" s="5"/>
      <c r="B283" s="17"/>
      <c r="C283" s="5"/>
      <c r="D283" s="5"/>
      <c r="E283" s="5"/>
      <c r="F283" s="5"/>
      <c r="G283" s="5"/>
      <c r="H283" s="5"/>
      <c r="I283" s="5"/>
      <c r="J283" s="5"/>
      <c r="K283" s="5"/>
      <c r="L283" s="5"/>
      <c r="M283" s="5"/>
    </row>
    <row r="284" spans="1:13">
      <c r="A284" s="5"/>
      <c r="B284" s="17"/>
      <c r="C284" s="5"/>
      <c r="D284" s="5"/>
      <c r="E284" s="5"/>
      <c r="F284" s="5"/>
      <c r="G284" s="5"/>
      <c r="H284" s="5"/>
      <c r="I284" s="5"/>
      <c r="J284" s="5"/>
      <c r="K284" s="5"/>
      <c r="L284" s="5"/>
      <c r="M284" s="5"/>
    </row>
    <row r="285" spans="1:13">
      <c r="A285" s="5"/>
      <c r="B285" s="17"/>
      <c r="C285" s="5"/>
      <c r="D285" s="5"/>
      <c r="E285" s="5"/>
      <c r="F285" s="5"/>
      <c r="G285" s="5"/>
      <c r="H285" s="5"/>
      <c r="I285" s="5"/>
      <c r="J285" s="5"/>
      <c r="K285" s="5"/>
      <c r="L285" s="5"/>
      <c r="M285" s="5"/>
    </row>
    <row r="286" spans="1:13">
      <c r="A286" s="5"/>
      <c r="B286" s="17"/>
      <c r="C286" s="5"/>
      <c r="D286" s="5"/>
      <c r="E286" s="5"/>
      <c r="F286" s="5"/>
      <c r="G286" s="5"/>
      <c r="H286" s="5"/>
      <c r="I286" s="5"/>
      <c r="J286" s="5"/>
      <c r="K286" s="5"/>
      <c r="L286" s="5"/>
      <c r="M286" s="5"/>
    </row>
    <row r="287" spans="1:13">
      <c r="A287" s="5"/>
      <c r="B287" s="17"/>
      <c r="C287" s="5"/>
      <c r="D287" s="5"/>
      <c r="E287" s="5"/>
      <c r="F287" s="5"/>
      <c r="G287" s="5"/>
      <c r="H287" s="5"/>
      <c r="I287" s="5"/>
      <c r="J287" s="5"/>
      <c r="K287" s="5"/>
      <c r="L287" s="5"/>
      <c r="M287" s="5"/>
    </row>
    <row r="288" spans="1:13">
      <c r="A288" s="5"/>
      <c r="B288" s="17"/>
      <c r="C288" s="5"/>
      <c r="D288" s="5"/>
      <c r="E288" s="5"/>
      <c r="F288" s="5"/>
      <c r="G288" s="5"/>
      <c r="H288" s="5"/>
      <c r="I288" s="5"/>
      <c r="J288" s="5"/>
      <c r="K288" s="5"/>
      <c r="L288" s="5"/>
      <c r="M288" s="5"/>
    </row>
    <row r="289" spans="1:13">
      <c r="A289" s="5"/>
      <c r="B289" s="17"/>
      <c r="C289" s="5"/>
      <c r="D289" s="5"/>
      <c r="E289" s="5"/>
      <c r="F289" s="5"/>
      <c r="G289" s="5"/>
      <c r="H289" s="5"/>
      <c r="I289" s="5"/>
      <c r="J289" s="5"/>
      <c r="K289" s="5"/>
      <c r="L289" s="5"/>
      <c r="M289" s="5"/>
    </row>
    <row r="290" spans="1:13">
      <c r="A290" s="5"/>
      <c r="B290" s="17"/>
      <c r="C290" s="5"/>
      <c r="D290" s="5"/>
      <c r="E290" s="5"/>
      <c r="F290" s="5"/>
      <c r="G290" s="5"/>
      <c r="H290" s="5"/>
      <c r="I290" s="5"/>
      <c r="J290" s="5"/>
      <c r="K290" s="5"/>
      <c r="L290" s="5"/>
      <c r="M290" s="5"/>
    </row>
    <row r="291" spans="1:13">
      <c r="A291" s="5"/>
      <c r="B291" s="17"/>
      <c r="C291" s="5"/>
      <c r="D291" s="5"/>
      <c r="E291" s="5"/>
      <c r="F291" s="5"/>
      <c r="G291" s="5"/>
      <c r="H291" s="5"/>
      <c r="I291" s="5"/>
      <c r="J291" s="5"/>
      <c r="K291" s="5"/>
      <c r="L291" s="5"/>
      <c r="M291" s="5"/>
    </row>
  </sheetData>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9EBEB7-DC63-4C58-93FD-6E16E3FD7599}">
  <sheetPr>
    <pageSetUpPr fitToPage="1"/>
  </sheetPr>
  <dimension ref="N36:P67"/>
  <sheetViews>
    <sheetView showGridLines="0" topLeftCell="A46" zoomScale="22" zoomScaleNormal="89" workbookViewId="0">
      <selection activeCell="CE59" sqref="CE59"/>
    </sheetView>
  </sheetViews>
  <sheetFormatPr defaultColWidth="9" defaultRowHeight="13.8"/>
  <cols>
    <col min="1" max="66" width="9" style="18"/>
    <col min="67" max="67" width="13.8984375" style="18" customWidth="1"/>
    <col min="68" max="16384" width="9" style="18"/>
  </cols>
  <sheetData>
    <row r="36" spans="16:16" ht="34.799999999999997">
      <c r="P36" s="19"/>
    </row>
    <row r="67" spans="14:14">
      <c r="N67" s="20" t="b">
        <v>0</v>
      </c>
    </row>
  </sheetData>
  <pageMargins left="0.7" right="0.7" top="0.75" bottom="0.75" header="0.3" footer="0.3"/>
  <pageSetup paperSize="9" scale="16" orientation="landscape"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2F0EBB-8E18-40E1-96F4-195399216895}">
  <sheetPr>
    <pageSetUpPr fitToPage="1"/>
  </sheetPr>
  <dimension ref="A3:K134"/>
  <sheetViews>
    <sheetView topLeftCell="B26" zoomScale="44" zoomScaleNormal="112" workbookViewId="0">
      <selection activeCell="J55" sqref="J55"/>
    </sheetView>
  </sheetViews>
  <sheetFormatPr defaultColWidth="18.59765625" defaultRowHeight="13.8"/>
  <cols>
    <col min="1" max="1" width="32.09765625" style="21" bestFit="1" customWidth="1"/>
    <col min="2" max="2" width="9.59765625" style="21" bestFit="1" customWidth="1"/>
    <col min="3" max="16384" width="18.59765625" style="21"/>
  </cols>
  <sheetData>
    <row r="3" spans="1:11">
      <c r="A3" s="21" t="s">
        <v>0</v>
      </c>
      <c r="B3" s="22" t="s">
        <v>1</v>
      </c>
    </row>
    <row r="4" spans="1:11">
      <c r="A4" s="23" t="s">
        <v>2</v>
      </c>
      <c r="B4" s="24">
        <v>16</v>
      </c>
    </row>
    <row r="5" spans="1:11">
      <c r="A5" s="23" t="s">
        <v>3</v>
      </c>
      <c r="B5" s="24">
        <v>21</v>
      </c>
    </row>
    <row r="6" spans="1:11">
      <c r="A6" s="23" t="s">
        <v>4</v>
      </c>
      <c r="B6" s="24">
        <v>22</v>
      </c>
    </row>
    <row r="7" spans="1:11">
      <c r="A7" s="23" t="s">
        <v>5</v>
      </c>
      <c r="B7" s="24">
        <v>20</v>
      </c>
      <c r="K7" s="25"/>
    </row>
    <row r="8" spans="1:11">
      <c r="A8" s="23" t="s">
        <v>6</v>
      </c>
      <c r="B8" s="24">
        <v>15</v>
      </c>
    </row>
    <row r="9" spans="1:11">
      <c r="A9" s="23" t="s">
        <v>7</v>
      </c>
      <c r="B9" s="24">
        <v>13</v>
      </c>
    </row>
    <row r="10" spans="1:11">
      <c r="A10" s="23" t="s">
        <v>8</v>
      </c>
      <c r="B10" s="24">
        <v>28</v>
      </c>
    </row>
    <row r="11" spans="1:11">
      <c r="A11" s="23" t="s">
        <v>9</v>
      </c>
      <c r="B11" s="24">
        <v>26</v>
      </c>
    </row>
    <row r="12" spans="1:11">
      <c r="A12" s="23" t="s">
        <v>10</v>
      </c>
      <c r="B12" s="24">
        <v>15</v>
      </c>
    </row>
    <row r="13" spans="1:11">
      <c r="A13" s="23" t="s">
        <v>11</v>
      </c>
      <c r="B13" s="24">
        <v>13</v>
      </c>
    </row>
    <row r="14" spans="1:11">
      <c r="A14" s="23" t="s">
        <v>12</v>
      </c>
      <c r="B14" s="24">
        <v>32</v>
      </c>
    </row>
    <row r="15" spans="1:11">
      <c r="A15" s="23" t="s">
        <v>13</v>
      </c>
      <c r="B15" s="24">
        <v>19</v>
      </c>
    </row>
    <row r="16" spans="1:11">
      <c r="A16" s="23" t="s">
        <v>113</v>
      </c>
      <c r="B16" s="24">
        <v>240</v>
      </c>
    </row>
    <row r="20" spans="1:2">
      <c r="A20" s="21" t="s">
        <v>14</v>
      </c>
      <c r="B20" s="22" t="s">
        <v>1</v>
      </c>
    </row>
    <row r="21" spans="1:2">
      <c r="A21" s="23" t="s">
        <v>15</v>
      </c>
      <c r="B21" s="24">
        <v>16</v>
      </c>
    </row>
    <row r="22" spans="1:2">
      <c r="A22" s="23" t="s">
        <v>16</v>
      </c>
      <c r="B22" s="24">
        <v>8</v>
      </c>
    </row>
    <row r="23" spans="1:2">
      <c r="A23" s="23" t="s">
        <v>17</v>
      </c>
      <c r="B23" s="24">
        <v>24</v>
      </c>
    </row>
    <row r="24" spans="1:2">
      <c r="A24" s="23" t="s">
        <v>18</v>
      </c>
      <c r="B24" s="24">
        <v>17</v>
      </c>
    </row>
    <row r="25" spans="1:2">
      <c r="A25" s="23" t="s">
        <v>19</v>
      </c>
      <c r="B25" s="24">
        <v>6</v>
      </c>
    </row>
    <row r="26" spans="1:2">
      <c r="A26" s="23" t="s">
        <v>20</v>
      </c>
      <c r="B26" s="24">
        <v>28</v>
      </c>
    </row>
    <row r="27" spans="1:2">
      <c r="A27" s="23" t="s">
        <v>21</v>
      </c>
      <c r="B27" s="24">
        <v>14</v>
      </c>
    </row>
    <row r="28" spans="1:2">
      <c r="A28" s="23" t="s">
        <v>22</v>
      </c>
      <c r="B28" s="24">
        <v>33</v>
      </c>
    </row>
    <row r="29" spans="1:2">
      <c r="A29" s="23" t="s">
        <v>23</v>
      </c>
      <c r="B29" s="24">
        <v>28</v>
      </c>
    </row>
    <row r="30" spans="1:2">
      <c r="A30" s="23" t="s">
        <v>24</v>
      </c>
      <c r="B30" s="24">
        <v>14</v>
      </c>
    </row>
    <row r="31" spans="1:2">
      <c r="A31" s="23" t="s">
        <v>25</v>
      </c>
      <c r="B31" s="24">
        <v>24</v>
      </c>
    </row>
    <row r="32" spans="1:2">
      <c r="A32" s="23" t="s">
        <v>26</v>
      </c>
      <c r="B32" s="24">
        <v>28</v>
      </c>
    </row>
    <row r="40" spans="1:2">
      <c r="A40" s="21" t="s">
        <v>27</v>
      </c>
      <c r="B40" s="22" t="s">
        <v>1</v>
      </c>
    </row>
    <row r="41" spans="1:2">
      <c r="A41" s="23" t="s">
        <v>28</v>
      </c>
      <c r="B41" s="24">
        <v>32</v>
      </c>
    </row>
    <row r="42" spans="1:2">
      <c r="A42" s="23" t="s">
        <v>29</v>
      </c>
      <c r="B42" s="24">
        <v>35</v>
      </c>
    </row>
    <row r="43" spans="1:2">
      <c r="A43" s="23" t="s">
        <v>30</v>
      </c>
      <c r="B43" s="24">
        <v>35</v>
      </c>
    </row>
    <row r="44" spans="1:2">
      <c r="A44" s="23" t="s">
        <v>31</v>
      </c>
      <c r="B44" s="24">
        <v>52</v>
      </c>
    </row>
    <row r="45" spans="1:2">
      <c r="A45" s="23" t="s">
        <v>32</v>
      </c>
      <c r="B45" s="24">
        <v>65</v>
      </c>
    </row>
    <row r="46" spans="1:2">
      <c r="A46" s="23" t="s">
        <v>33</v>
      </c>
      <c r="B46" s="24">
        <v>21</v>
      </c>
    </row>
    <row r="62" spans="1:2">
      <c r="A62" s="21" t="s">
        <v>112</v>
      </c>
      <c r="B62" s="21" t="s">
        <v>34</v>
      </c>
    </row>
    <row r="63" spans="1:2">
      <c r="A63" s="23" t="s">
        <v>35</v>
      </c>
      <c r="B63" s="24">
        <v>6</v>
      </c>
    </row>
    <row r="64" spans="1:2">
      <c r="A64" s="23" t="s">
        <v>36</v>
      </c>
      <c r="B64" s="24">
        <v>42</v>
      </c>
    </row>
    <row r="65" spans="1:2">
      <c r="A65" s="23" t="s">
        <v>37</v>
      </c>
      <c r="B65" s="24">
        <v>47</v>
      </c>
    </row>
    <row r="66" spans="1:2">
      <c r="A66" s="23" t="s">
        <v>38</v>
      </c>
      <c r="B66" s="24">
        <v>14</v>
      </c>
    </row>
    <row r="67" spans="1:2">
      <c r="A67" s="23" t="s">
        <v>39</v>
      </c>
      <c r="B67" s="24">
        <v>8</v>
      </c>
    </row>
    <row r="68" spans="1:2">
      <c r="A68" s="23" t="s">
        <v>40</v>
      </c>
      <c r="B68" s="24">
        <v>15</v>
      </c>
    </row>
    <row r="69" spans="1:2">
      <c r="A69" s="23" t="s">
        <v>41</v>
      </c>
      <c r="B69" s="24">
        <v>18</v>
      </c>
    </row>
    <row r="70" spans="1:2">
      <c r="A70" s="23" t="s">
        <v>42</v>
      </c>
      <c r="B70" s="24">
        <v>32</v>
      </c>
    </row>
    <row r="71" spans="1:2">
      <c r="A71" s="23" t="s">
        <v>43</v>
      </c>
      <c r="B71" s="24">
        <v>8</v>
      </c>
    </row>
    <row r="72" spans="1:2">
      <c r="A72" s="23" t="s">
        <v>44</v>
      </c>
      <c r="B72" s="24">
        <v>18</v>
      </c>
    </row>
    <row r="73" spans="1:2">
      <c r="A73" s="23" t="s">
        <v>45</v>
      </c>
      <c r="B73" s="24">
        <v>8</v>
      </c>
    </row>
    <row r="74" spans="1:2">
      <c r="A74" s="23" t="s">
        <v>46</v>
      </c>
      <c r="B74" s="24">
        <v>12</v>
      </c>
    </row>
    <row r="75" spans="1:2">
      <c r="A75" s="23" t="s">
        <v>47</v>
      </c>
      <c r="B75" s="24">
        <v>12</v>
      </c>
    </row>
    <row r="83" spans="1:2">
      <c r="A83" s="21" t="s">
        <v>112</v>
      </c>
      <c r="B83" s="21" t="s">
        <v>48</v>
      </c>
    </row>
    <row r="84" spans="1:2">
      <c r="A84" s="23" t="s">
        <v>49</v>
      </c>
      <c r="B84" s="24">
        <v>32</v>
      </c>
    </row>
    <row r="85" spans="1:2">
      <c r="A85" s="23" t="s">
        <v>50</v>
      </c>
      <c r="B85" s="24">
        <v>18</v>
      </c>
    </row>
    <row r="86" spans="1:2">
      <c r="A86" s="23" t="s">
        <v>51</v>
      </c>
      <c r="B86" s="24">
        <v>120</v>
      </c>
    </row>
    <row r="87" spans="1:2">
      <c r="A87" s="23" t="s">
        <v>52</v>
      </c>
      <c r="B87" s="24">
        <v>41</v>
      </c>
    </row>
    <row r="88" spans="1:2">
      <c r="A88" s="23" t="s">
        <v>53</v>
      </c>
      <c r="B88" s="24">
        <v>29</v>
      </c>
    </row>
    <row r="101" spans="1:2">
      <c r="A101" s="21" t="s">
        <v>54</v>
      </c>
      <c r="B101" s="22" t="s">
        <v>1</v>
      </c>
    </row>
    <row r="102" spans="1:2">
      <c r="A102" s="23" t="s">
        <v>55</v>
      </c>
      <c r="B102" s="24">
        <v>28</v>
      </c>
    </row>
    <row r="103" spans="1:2">
      <c r="A103" s="23" t="s">
        <v>56</v>
      </c>
      <c r="B103" s="24">
        <v>37</v>
      </c>
    </row>
    <row r="104" spans="1:2">
      <c r="A104" s="23" t="s">
        <v>57</v>
      </c>
      <c r="B104" s="24">
        <v>33</v>
      </c>
    </row>
    <row r="105" spans="1:2">
      <c r="A105" s="23" t="s">
        <v>58</v>
      </c>
      <c r="B105" s="24">
        <v>27</v>
      </c>
    </row>
    <row r="106" spans="1:2">
      <c r="A106" s="23" t="s">
        <v>59</v>
      </c>
      <c r="B106" s="24">
        <v>35</v>
      </c>
    </row>
    <row r="107" spans="1:2">
      <c r="A107" s="23" t="s">
        <v>60</v>
      </c>
      <c r="B107" s="24">
        <v>25</v>
      </c>
    </row>
    <row r="108" spans="1:2">
      <c r="A108" s="23" t="s">
        <v>61</v>
      </c>
      <c r="B108" s="24">
        <v>28</v>
      </c>
    </row>
    <row r="109" spans="1:2">
      <c r="A109" s="23" t="s">
        <v>62</v>
      </c>
      <c r="B109" s="24">
        <v>27</v>
      </c>
    </row>
    <row r="110" spans="1:2">
      <c r="A110" s="23" t="s">
        <v>113</v>
      </c>
      <c r="B110" s="24">
        <v>240</v>
      </c>
    </row>
    <row r="114" spans="1:2">
      <c r="A114" s="21" t="s">
        <v>63</v>
      </c>
    </row>
    <row r="115" spans="1:2">
      <c r="A115" s="25">
        <v>10.803347280334728</v>
      </c>
    </row>
    <row r="120" spans="1:2">
      <c r="A120" s="21" t="s">
        <v>64</v>
      </c>
      <c r="B120" s="21" t="s">
        <v>1</v>
      </c>
    </row>
    <row r="121" spans="1:2">
      <c r="A121" s="23" t="s">
        <v>65</v>
      </c>
      <c r="B121" s="24">
        <v>20</v>
      </c>
    </row>
    <row r="122" spans="1:2">
      <c r="A122" s="23" t="s">
        <v>66</v>
      </c>
      <c r="B122" s="24">
        <v>220</v>
      </c>
    </row>
    <row r="123" spans="1:2">
      <c r="A123" s="23" t="s">
        <v>113</v>
      </c>
      <c r="B123" s="24">
        <v>240</v>
      </c>
    </row>
    <row r="133" spans="1:1">
      <c r="A133" s="21" t="s">
        <v>67</v>
      </c>
    </row>
    <row r="134" spans="1:1">
      <c r="A134" s="24">
        <v>3.1739130434782608</v>
      </c>
    </row>
  </sheetData>
  <pageMargins left="0.7" right="0.7" top="0.75" bottom="0.75" header="0.3" footer="0.3"/>
  <pageSetup paperSize="9" scale="26" orientation="landscape" r:id="rId10"/>
  <drawing r:id="rId1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F7CF06846690D345BE7B9F08D2107269" ma:contentTypeVersion="9" ma:contentTypeDescription="Crie um novo documento." ma:contentTypeScope="" ma:versionID="a02595ad8e1ccb5f91ece3d44665dc5e">
  <xsd:schema xmlns:xsd="http://www.w3.org/2001/XMLSchema" xmlns:xs="http://www.w3.org/2001/XMLSchema" xmlns:p="http://schemas.microsoft.com/office/2006/metadata/properties" xmlns:ns3="f4bd3705-541a-41be-a429-ea8fa9b38f51" targetNamespace="http://schemas.microsoft.com/office/2006/metadata/properties" ma:root="true" ma:fieldsID="efd3422a6cbca96e2e0d0e111a14f168" ns3:_="">
    <xsd:import namespace="f4bd3705-541a-41be-a429-ea8fa9b38f51"/>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SystemTags" minOccurs="0"/>
                <xsd:element ref="ns3:MediaServiceOCR" minOccurs="0"/>
                <xsd:element ref="ns3:MediaServiceGenerationTime" minOccurs="0"/>
                <xsd:element ref="ns3:MediaServiceEventHashCode"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4bd3705-541a-41be-a429-ea8fa9b38f51"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SystemTags" ma:index="12" nillable="true" ma:displayName="MediaServiceSystemTags" ma:hidden="true" ma:internalName="MediaServiceSystemTags" ma:readOnly="true">
      <xsd:simpleType>
        <xsd:restriction base="dms:Note"/>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_activity" ma:index="16"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f4bd3705-541a-41be-a429-ea8fa9b38f51" xsi:nil="true"/>
  </documentManagement>
</p:properties>
</file>

<file path=customXml/itemProps1.xml><?xml version="1.0" encoding="utf-8"?>
<ds:datastoreItem xmlns:ds="http://schemas.openxmlformats.org/officeDocument/2006/customXml" ds:itemID="{03DC0C2E-B142-407F-A962-1AE3E0EFA97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4bd3705-541a-41be-a429-ea8fa9b38f5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5CB6798-1924-4687-9D7D-2E92888FDF90}">
  <ds:schemaRefs>
    <ds:schemaRef ds:uri="http://schemas.microsoft.com/sharepoint/v3/contenttype/forms"/>
  </ds:schemaRefs>
</ds:datastoreItem>
</file>

<file path=customXml/itemProps3.xml><?xml version="1.0" encoding="utf-8"?>
<ds:datastoreItem xmlns:ds="http://schemas.openxmlformats.org/officeDocument/2006/customXml" ds:itemID="{66A5B268-8A92-49B1-A7C6-74EA5386B0E0}">
  <ds:schemaRefs>
    <ds:schemaRef ds:uri="http://purl.org/dc/dcmitype/"/>
    <ds:schemaRef ds:uri="f4bd3705-541a-41be-a429-ea8fa9b38f51"/>
    <ds:schemaRef ds:uri="http://purl.org/dc/terms/"/>
    <ds:schemaRef ds:uri="http://schemas.microsoft.com/office/infopath/2007/PartnerControls"/>
    <ds:schemaRef ds:uri="http://schemas.microsoft.com/office/2006/documentManagement/types"/>
    <ds:schemaRef ds:uri="http://schemas.openxmlformats.org/package/2006/metadata/core-properties"/>
    <ds:schemaRef ds:uri="http://schemas.microsoft.com/office/2006/metadata/properties"/>
    <ds:schemaRef ds:uri="http://www.w3.org/XML/1998/namespace"/>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Base_Ouvidoria</vt:lpstr>
      <vt:lpstr>Dashboard v1.1</vt:lpstr>
      <vt:lpstr>PivotTable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Nicolas Paiva Ferreira</dc:creator>
  <cp:keywords/>
  <dc:description/>
  <cp:lastModifiedBy>Nicolas Paiva Ferreira</cp:lastModifiedBy>
  <cp:revision/>
  <cp:lastPrinted>2026-07-21T22:03:25Z</cp:lastPrinted>
  <dcterms:created xsi:type="dcterms:W3CDTF">2026-05-25T16:35:58Z</dcterms:created>
  <dcterms:modified xsi:type="dcterms:W3CDTF">2026-07-21T23:59:36Z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0x010100F7CF06846690D345BE7B9F08D2107269</vt:lpwstr>
  </property>
</Properties>
</file>